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 to use" state="visible" r:id="rId4"/>
    <sheet sheetId="2" name="CARTON_LOOKUP" state="veryHidden" r:id="rId5"/>
    <sheet sheetId="3" name="LISTS_LOOKUP" state="veryHidden" r:id="rId6"/>
    <sheet sheetId="4" name="PO Header" state="visible" r:id="rId7"/>
  </sheets>
  <calcPr calcId="171027"/>
</workbook>
</file>

<file path=xl/sharedStrings.xml><?xml version="1.0" encoding="utf-8"?>
<sst xmlns="http://schemas.openxmlformats.org/spreadsheetml/2006/main" count="3109" uniqueCount="105">
  <si>
    <t>📋  Carrier Booking — VBKREQ Simulator  |  Instructions to Use</t>
  </si>
  <si>
    <t>1.  Fill in one row per PO in the PO Header sheet and email the file to the ASOS L&amp;D Inbound team: InboundService@asos.com</t>
  </si>
  <si>
    <t/>
  </si>
  <si>
    <t>2.  MANDATORY fields (pink/red columns) — must be filled for every PO row:</t>
  </si>
  <si>
    <t xml:space="preserve">       •  PO_Number</t>
  </si>
  <si>
    <t xml:space="preserve">       •  Cargo_Ready_Planned_Collection_Date   (DD/MM/YYYY)</t>
  </si>
  <si>
    <t xml:space="preserve">       •  Carrier_Booking_Request_Date            (DD/MM/YYYY)</t>
  </si>
  <si>
    <t xml:space="preserve">       •  Total booked units of a booking   (total units for the booking — maps to VBKREQ header BKQ measure)</t>
  </si>
  <si>
    <t xml:space="preserve">       •  Total no. of Cartons of booking    (whole number &gt; 0)</t>
  </si>
  <si>
    <t>3.  DEFAULTED fields (green columns) — pre-filled with sensible values; update only if different for your shipment:</t>
  </si>
  <si>
    <t xml:space="preserve">       •  Booking_Group = Single Booking        (see Booking_Group rules below — change if grouping POs into one booking)</t>
  </si>
  <si>
    <t xml:space="preserve">       •  Total items weight of booking = 0.21  (kg per individual unit/garment — update if different for your shipment)</t>
  </si>
  <si>
    <t xml:space="preserve">       •  Carton_Type = BDCM1                  (select from dropdown if different)</t>
  </si>
  <si>
    <t xml:space="preserve">       •  Pack_Type = Bulk Flat</t>
  </si>
  <si>
    <t xml:space="preserve">       •  Collection_Type = Delivery           (change to "Collection" if carrier collects from factory)</t>
  </si>
  <si>
    <t xml:space="preserve">       •  Hazardous = N/A</t>
  </si>
  <si>
    <t xml:space="preserve">       •  Traffic_Mode = CFS                   (change to CY if full container load)</t>
  </si>
  <si>
    <t>4.  AUTO-FILLED fields (blue columns) — calculated automatically from Carton_Type — do NOT edit:</t>
  </si>
  <si>
    <t xml:space="preserve">       •  Carton_Length_cm   •  Carton_Width_cm   •  Carton_Height_cm   •  Carton_Weight_KG</t>
  </si>
  <si>
    <t>5.  OPTIONAL fields (grey columns) — leave blank if not applicable:</t>
  </si>
  <si>
    <t xml:space="preserve">       •  Collection_Time (HH:MM)   •  Remarks</t>
  </si>
  <si>
    <t>6.  Booking_Group rules:</t>
  </si>
  <si>
    <t xml:space="preserve">       •  "Single Booking"                        →  one carrier booking request per PO</t>
  </si>
  <si>
    <t xml:space="preserve">       •  "Multiple POs-BK001" … "Multiple POs-BK025"  →  POs sharing the same code are merged into one carrier booking request</t>
  </si>
  <si>
    <t xml:space="preserve">       •  "Multiple"                              →  all POs in the file combined into a single carrier booking request</t>
  </si>
  <si>
    <t>7.  "Total booked units" maps directly to the VBKREQ header BKQ measure. A report note will flag if it differs from the ASN line-level sum.</t>
  </si>
  <si>
    <t>8.  No_of_Cartons / Unit_Weight_KG / Carton_Type drive the booking-level carton totals (QUR / G / N / VOL) in the carrier booking request.</t>
  </si>
  <si>
    <t>9.  Supplier ID, Factory, Mode of Transport, Ship Date and Expected Delivery are sourced automatically from ASOS systems — do not add them here.</t>
  </si>
  <si>
    <t>⚠  Do NOT rename, move, or delete column headers in the PO Header sheet.</t>
  </si>
  <si>
    <t>Carton_Type</t>
  </si>
  <si>
    <t>Weight_KG</t>
  </si>
  <si>
    <t>Length_cm</t>
  </si>
  <si>
    <t>Width_cm</t>
  </si>
  <si>
    <t>Height_cm</t>
  </si>
  <si>
    <t>BDCM1</t>
  </si>
  <si>
    <t>BDCM3</t>
  </si>
  <si>
    <t>C5</t>
  </si>
  <si>
    <t>Cartons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</si>
  <si>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</si>
  <si>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</si>
  <si>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</si>
  <si>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</si>
  <si>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</si>
  <si>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</si>
  <si>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</si>
  <si>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</si>
  <si>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</si>
  <si>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</si>
  <si>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</si>
  <si>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</si>
  <si>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Hanging</t>
  </si>
  <si>
    <t>Hanging Non-Standard</t>
  </si>
  <si>
    <t>Non-Standard</t>
  </si>
  <si>
    <t>Booking_Group</t>
  </si>
  <si>
    <t>Single Booking</t>
  </si>
  <si>
    <t>Multiple POs-BK001</t>
  </si>
  <si>
    <t>Multiple POs-BK002</t>
  </si>
  <si>
    <t>Multiple POs-BK003</t>
  </si>
  <si>
    <t>Multiple POs-BK004</t>
  </si>
  <si>
    <t>Multiple POs-BK005</t>
  </si>
  <si>
    <t>Multiple POs-BK006</t>
  </si>
  <si>
    <t>Multiple POs-BK007</t>
  </si>
  <si>
    <t>Multiple POs-BK008</t>
  </si>
  <si>
    <t>Multiple POs-BK009</t>
  </si>
  <si>
    <t>Multiple POs-BK010</t>
  </si>
  <si>
    <t>Multiple POs-BK011</t>
  </si>
  <si>
    <t>Multiple POs-BK012</t>
  </si>
  <si>
    <t>Multiple POs-BK013</t>
  </si>
  <si>
    <t>Multiple POs-BK014</t>
  </si>
  <si>
    <t>Multiple POs-BK015</t>
  </si>
  <si>
    <t>Multiple POs-BK016</t>
  </si>
  <si>
    <t>Multiple POs-BK017</t>
  </si>
  <si>
    <t>Multiple POs-BK018</t>
  </si>
  <si>
    <t>Multiple POs-BK019</t>
  </si>
  <si>
    <t>Multiple POs-BK020</t>
  </si>
  <si>
    <t>Multiple POs-BK021</t>
  </si>
  <si>
    <t>Multiple POs-BK022</t>
  </si>
  <si>
    <t>Multiple POs-BK023</t>
  </si>
  <si>
    <t>Multiple POs-BK024</t>
  </si>
  <si>
    <t>Multiple POs-BK025</t>
  </si>
  <si>
    <t>Multiple</t>
  </si>
  <si>
    <t>◀  MANDATORY — must be completed  ▶</t>
  </si>
  <si>
    <t>◀  AUTO-FILLED — from Carton_Type lookup  ▶</t>
  </si>
  <si>
    <t>◀  DEFAULTED — pre-filled, editable  ▶</t>
  </si>
  <si>
    <t>◀  OPTIONAL — leave blank if not needed  ▶</t>
  </si>
  <si>
    <t>PO_Number</t>
  </si>
  <si>
    <t>Cargo_Ready_Planned_Collection_Date</t>
  </si>
  <si>
    <t>Carrier_Booking_Request_Date</t>
  </si>
  <si>
    <t>Total booked units of a booking</t>
  </si>
  <si>
    <t>Total no. of Cartons of booking</t>
  </si>
  <si>
    <t>Carton_Length_cm</t>
  </si>
  <si>
    <t>Carton_Width_cm</t>
  </si>
  <si>
    <t>Carton_Height_cm</t>
  </si>
  <si>
    <t>Carton_Weight_KG</t>
  </si>
  <si>
    <t>Total items weight of booking</t>
  </si>
  <si>
    <t>Pack_Type</t>
  </si>
  <si>
    <t>Collection_Type</t>
  </si>
  <si>
    <t>Hazardous</t>
  </si>
  <si>
    <t>Traffic_Mode</t>
  </si>
  <si>
    <t>Collection_Time (HH:MM)</t>
  </si>
  <si>
    <t>Remarks</t>
  </si>
  <si>
    <t>Bulk Flat</t>
  </si>
  <si>
    <t>Delivery</t>
  </si>
  <si>
    <t>N/A</t>
  </si>
  <si>
    <t>CFS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</si>
</sst>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000"/>
  </numFmts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1A1A2E"/>
      <sz val="10"/>
    </font>
    <font>
      <color rgb="FF1A1A2E"/>
      <sz val="10"/>
    </font>
    <font>
      <b/>
      <color rgb="FFFFFFFF"/>
      <sz val="9"/>
    </font>
    <font>
      <b/>
      <color rgb="FFFFFFFF"/>
      <sz val="10"/>
    </font>
    <font>
      <color rgb="FF0D47A1"/>
      <sz val="10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DE8E8"/>
      </patternFill>
    </fill>
    <fill>
      <patternFill patternType="solid">
        <fgColor rgb="FFFEF4F4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E9F3FB"/>
      </patternFill>
    </fill>
    <fill>
      <patternFill patternType="solid">
        <fgColor rgb="FFFEF3CD"/>
      </patternFill>
    </fill>
    <fill>
      <patternFill patternType="solid">
        <fgColor rgb="FFFFF3CD"/>
      </patternFill>
    </fill>
    <fill>
      <patternFill patternType="solid">
        <fgColor rgb="FFD9534F"/>
      </patternFill>
    </fill>
    <fill>
      <patternFill patternType="solid">
        <fgColor rgb="FF4A90C4"/>
      </patternFill>
    </fill>
    <fill>
      <patternFill patternType="solid">
        <fgColor rgb="FF5FAD56"/>
      </patternFill>
    </fill>
    <fill>
      <patternFill patternType="solid">
        <fgColor rgb="FF9E9E9E"/>
      </patternFill>
    </fill>
  </fills>
  <borders count="3">
    <border>
      <left/>
      <right/>
      <top/>
      <bottom/>
      <diagonal/>
    </border>
    <border>
      <left/>
      <right style="medium">
        <color rgb="FFFFFFFF"/>
      </right>
      <top/>
      <bottom style="thin">
        <color rgb="FFCCCCCC"/>
      </bottom>
      <diagonal/>
    </border>
    <border>
      <left/>
      <right/>
      <top/>
      <bottom style="medium">
        <color rgb="FF88888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2"/>
    </xf>
    <xf numFmtId="0" fontId="3" fillId="7" borderId="0" xfId="0" applyFont="1" applyFill="1" applyAlignment="1">
      <alignment horizontal="left" vertical="center" indent="2"/>
    </xf>
    <xf numFmtId="0" fontId="3" fillId="8" borderId="0" xfId="0" applyFont="1" applyFill="1" applyAlignment="1">
      <alignment horizontal="left" vertical="center" indent="2"/>
    </xf>
    <xf numFmtId="0" fontId="2" fillId="9" borderId="0" xfId="0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2"/>
    </xf>
    <xf numFmtId="0" fontId="2" fillId="10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2"/>
    </xf>
    <xf numFmtId="0" fontId="3" fillId="11" borderId="0" xfId="0" applyFont="1" applyFill="1" applyAlignment="1">
      <alignment horizontal="left" vertical="center" indent="1"/>
    </xf>
    <xf numFmtId="0" fontId="2" fillId="12" borderId="0" xfId="0" applyFont="1" applyFill="1" applyAlignment="1">
      <alignment horizontal="left" vertical="center" inden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4" fillId="13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49" fontId="5" fillId="13" borderId="2" xfId="0" applyNumberFormat="1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2" fontId="6" fillId="8" borderId="0" xfId="0" applyNumberFormat="1" applyFont="1" applyFill="1" applyAlignment="1" applyProtection="1">
      <alignment horizontal="center" vertical="center" wrapText="1"/>
    </xf>
    <xf numFmtId="165" fontId="6" fillId="8" borderId="0" xfId="0" applyNumberFormat="1" applyFont="1" applyFill="1" applyAlignment="1" applyProtection="1">
      <alignment horizontal="center" vertical="center" wrapText="1"/>
    </xf>
    <xf numFmtId="16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A500"/>
  </sheetPr>
  <dimension ref="A1:H35"/>
  <sheetViews>
    <sheetView workbookViewId="0" showGridLines="0"/>
  </sheetViews>
  <sheetFormatPr defaultRowHeight="15" outlineLevelRow="0" outlineLevelCol="0" x14ac:dyDescent="55"/>
  <cols>
    <col min="1" max="1" width="120" customWidth="1"/>
    <col min="2" max="8" width="10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15" customHeight="1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ht="15" customHeight="1" spans="1:8" x14ac:dyDescent="0.25">
      <c r="A5" s="5" t="s">
        <v>4</v>
      </c>
      <c r="B5" s="5"/>
      <c r="C5" s="5"/>
      <c r="D5" s="5"/>
      <c r="E5" s="5"/>
      <c r="F5" s="5"/>
      <c r="G5" s="5"/>
      <c r="H5" s="5"/>
    </row>
    <row r="6" ht="15" customHeight="1" spans="1:8" x14ac:dyDescent="0.25">
      <c r="A6" s="5" t="s">
        <v>5</v>
      </c>
      <c r="B6" s="5"/>
      <c r="C6" s="5"/>
      <c r="D6" s="5"/>
      <c r="E6" s="5"/>
      <c r="F6" s="5"/>
      <c r="G6" s="5"/>
      <c r="H6" s="5"/>
    </row>
    <row r="7" ht="15" customHeight="1" spans="1:8" x14ac:dyDescent="0.25">
      <c r="A7" s="5" t="s">
        <v>6</v>
      </c>
      <c r="B7" s="5"/>
      <c r="C7" s="5"/>
      <c r="D7" s="5"/>
      <c r="E7" s="5"/>
      <c r="F7" s="5"/>
      <c r="G7" s="5"/>
      <c r="H7" s="5"/>
    </row>
    <row r="8" ht="15" customHeight="1" spans="1:8" x14ac:dyDescent="0.25">
      <c r="A8" s="5" t="s">
        <v>7</v>
      </c>
      <c r="B8" s="5"/>
      <c r="C8" s="5"/>
      <c r="D8" s="5"/>
      <c r="E8" s="5"/>
      <c r="F8" s="5"/>
      <c r="G8" s="5"/>
      <c r="H8" s="5"/>
    </row>
    <row r="9" ht="15" customHeight="1" spans="1:8" x14ac:dyDescent="0.25">
      <c r="A9" s="5" t="s">
        <v>8</v>
      </c>
      <c r="B9" s="5"/>
      <c r="C9" s="5"/>
      <c r="D9" s="5"/>
      <c r="E9" s="5"/>
      <c r="F9" s="5"/>
      <c r="G9" s="5"/>
      <c r="H9" s="5"/>
    </row>
    <row r="10" ht="6" customHeight="1" spans="1:8" x14ac:dyDescent="0.25">
      <c r="A10" s="3" t="s">
        <v>2</v>
      </c>
      <c r="B10" s="3"/>
      <c r="C10" s="3"/>
      <c r="D10" s="3"/>
      <c r="E10" s="3"/>
      <c r="F10" s="3"/>
      <c r="G10" s="3"/>
      <c r="H10" s="3"/>
    </row>
    <row r="11" ht="15" customHeight="1" spans="1:8" x14ac:dyDescent="0.25">
      <c r="A11" s="2" t="s">
        <v>9</v>
      </c>
      <c r="B11" s="2"/>
      <c r="C11" s="2"/>
      <c r="D11" s="2"/>
      <c r="E11" s="2"/>
      <c r="F11" s="2"/>
      <c r="G11" s="2"/>
      <c r="H11" s="2"/>
    </row>
    <row r="12" ht="15" customHeight="1" spans="1:8" x14ac:dyDescent="0.25">
      <c r="A12" s="6" t="s">
        <v>10</v>
      </c>
      <c r="B12" s="6"/>
      <c r="C12" s="6"/>
      <c r="D12" s="6"/>
      <c r="E12" s="6"/>
      <c r="F12" s="6"/>
      <c r="G12" s="6"/>
      <c r="H12" s="6"/>
    </row>
    <row r="13" ht="15" customHeight="1" spans="1:8" x14ac:dyDescent="0.25">
      <c r="A13" s="6" t="s">
        <v>11</v>
      </c>
      <c r="B13" s="6"/>
      <c r="C13" s="6"/>
      <c r="D13" s="6"/>
      <c r="E13" s="6"/>
      <c r="F13" s="6"/>
      <c r="G13" s="6"/>
      <c r="H13" s="6"/>
    </row>
    <row r="14" ht="15" customHeight="1" spans="1:8" x14ac:dyDescent="0.25">
      <c r="A14" s="6" t="s">
        <v>12</v>
      </c>
      <c r="B14" s="6"/>
      <c r="C14" s="6"/>
      <c r="D14" s="6"/>
      <c r="E14" s="6"/>
      <c r="F14" s="6"/>
      <c r="G14" s="6"/>
      <c r="H14" s="6"/>
    </row>
    <row r="15" ht="15" customHeight="1" spans="1:8" x14ac:dyDescent="0.25">
      <c r="A15" s="6" t="s">
        <v>13</v>
      </c>
      <c r="B15" s="6"/>
      <c r="C15" s="6"/>
      <c r="D15" s="6"/>
      <c r="E15" s="6"/>
      <c r="F15" s="6"/>
      <c r="G15" s="6"/>
      <c r="H15" s="6"/>
    </row>
    <row r="16" ht="15" customHeight="1" spans="1:8" x14ac:dyDescent="0.25">
      <c r="A16" s="6" t="s">
        <v>14</v>
      </c>
      <c r="B16" s="6"/>
      <c r="C16" s="6"/>
      <c r="D16" s="6"/>
      <c r="E16" s="6"/>
      <c r="F16" s="6"/>
      <c r="G16" s="6"/>
      <c r="H16" s="6"/>
    </row>
    <row r="17" ht="15" customHeight="1" spans="1:8" x14ac:dyDescent="0.25">
      <c r="A17" s="6" t="s">
        <v>15</v>
      </c>
      <c r="B17" s="6"/>
      <c r="C17" s="6"/>
      <c r="D17" s="6"/>
      <c r="E17" s="6"/>
      <c r="F17" s="6"/>
      <c r="G17" s="6"/>
      <c r="H17" s="6"/>
    </row>
    <row r="18" ht="15" customHeight="1" spans="1:8" x14ac:dyDescent="0.25">
      <c r="A18" s="6" t="s">
        <v>16</v>
      </c>
      <c r="B18" s="6"/>
      <c r="C18" s="6"/>
      <c r="D18" s="6"/>
      <c r="E18" s="6"/>
      <c r="F18" s="6"/>
      <c r="G18" s="6"/>
      <c r="H18" s="6"/>
    </row>
    <row r="19" ht="6" customHeight="1" spans="1:8" x14ac:dyDescent="0.25">
      <c r="A19" s="3" t="s">
        <v>2</v>
      </c>
      <c r="B19" s="3"/>
      <c r="C19" s="3"/>
      <c r="D19" s="3"/>
      <c r="E19" s="3"/>
      <c r="F19" s="3"/>
      <c r="G19" s="3"/>
      <c r="H19" s="3"/>
    </row>
    <row r="20" ht="15" customHeight="1" spans="1:8" x14ac:dyDescent="0.25">
      <c r="A20" s="2" t="s">
        <v>17</v>
      </c>
      <c r="B20" s="2"/>
      <c r="C20" s="2"/>
      <c r="D20" s="2"/>
      <c r="E20" s="2"/>
      <c r="F20" s="2"/>
      <c r="G20" s="2"/>
      <c r="H20" s="2"/>
    </row>
    <row r="21" ht="15" customHeight="1" spans="1:8" x14ac:dyDescent="0.25">
      <c r="A21" s="7" t="s">
        <v>18</v>
      </c>
      <c r="B21" s="7"/>
      <c r="C21" s="7"/>
      <c r="D21" s="7"/>
      <c r="E21" s="7"/>
      <c r="F21" s="7"/>
      <c r="G21" s="7"/>
      <c r="H21" s="7"/>
    </row>
    <row r="22" ht="6" customHeight="1" spans="1:8" x14ac:dyDescent="0.25">
      <c r="A22" s="3" t="s">
        <v>2</v>
      </c>
      <c r="B22" s="3"/>
      <c r="C22" s="3"/>
      <c r="D22" s="3"/>
      <c r="E22" s="3"/>
      <c r="F22" s="3"/>
      <c r="G22" s="3"/>
      <c r="H22" s="3"/>
    </row>
    <row r="23" ht="15" customHeight="1" spans="1:8" x14ac:dyDescent="0.25">
      <c r="A23" s="8" t="s">
        <v>19</v>
      </c>
      <c r="B23" s="8"/>
      <c r="C23" s="8"/>
      <c r="D23" s="8"/>
      <c r="E23" s="8"/>
      <c r="F23" s="8"/>
      <c r="G23" s="8"/>
      <c r="H23" s="8"/>
    </row>
    <row r="24" ht="15" customHeight="1" spans="1:8" x14ac:dyDescent="0.25">
      <c r="A24" s="9" t="s">
        <v>20</v>
      </c>
      <c r="B24" s="9"/>
      <c r="C24" s="9"/>
      <c r="D24" s="9"/>
      <c r="E24" s="9"/>
      <c r="F24" s="9"/>
      <c r="G24" s="9"/>
      <c r="H24" s="9"/>
    </row>
    <row r="25" ht="6" customHeight="1" spans="1:8" x14ac:dyDescent="0.25">
      <c r="A25" s="3" t="s">
        <v>2</v>
      </c>
      <c r="B25" s="3"/>
      <c r="C25" s="3"/>
      <c r="D25" s="3"/>
      <c r="E25" s="3"/>
      <c r="F25" s="3"/>
      <c r="G25" s="3"/>
      <c r="H25" s="3"/>
    </row>
    <row r="26" ht="15" customHeight="1" spans="1:8" x14ac:dyDescent="0.25">
      <c r="A26" s="10" t="s">
        <v>21</v>
      </c>
      <c r="B26" s="10"/>
      <c r="C26" s="10"/>
      <c r="D26" s="10"/>
      <c r="E26" s="10"/>
      <c r="F26" s="10"/>
      <c r="G26" s="10"/>
      <c r="H26" s="10"/>
    </row>
    <row r="27" ht="15" customHeight="1" spans="1:8" x14ac:dyDescent="0.25">
      <c r="A27" s="11" t="s">
        <v>22</v>
      </c>
      <c r="B27" s="11"/>
      <c r="C27" s="11"/>
      <c r="D27" s="11"/>
      <c r="E27" s="11"/>
      <c r="F27" s="11"/>
      <c r="G27" s="11"/>
      <c r="H27" s="11"/>
    </row>
    <row r="28" ht="15" customHeight="1" spans="1:8" x14ac:dyDescent="0.25">
      <c r="A28" s="11" t="s">
        <v>23</v>
      </c>
      <c r="B28" s="11"/>
      <c r="C28" s="11"/>
      <c r="D28" s="11"/>
      <c r="E28" s="11"/>
      <c r="F28" s="11"/>
      <c r="G28" s="11"/>
      <c r="H28" s="11"/>
    </row>
    <row r="29" ht="15" customHeight="1" spans="1:8" x14ac:dyDescent="0.25">
      <c r="A29" s="11" t="s">
        <v>24</v>
      </c>
      <c r="B29" s="11"/>
      <c r="C29" s="11"/>
      <c r="D29" s="11"/>
      <c r="E29" s="11"/>
      <c r="F29" s="11"/>
      <c r="G29" s="11"/>
      <c r="H29" s="11"/>
    </row>
    <row r="30" ht="6" customHeight="1" spans="1:8" x14ac:dyDescent="0.25">
      <c r="A30" s="3" t="s">
        <v>2</v>
      </c>
      <c r="B30" s="3"/>
      <c r="C30" s="3"/>
      <c r="D30" s="3"/>
      <c r="E30" s="3"/>
      <c r="F30" s="3"/>
      <c r="G30" s="3"/>
      <c r="H30" s="3"/>
    </row>
    <row r="31" ht="15" customHeight="1" spans="1:8" x14ac:dyDescent="0.25">
      <c r="A31" s="12" t="s">
        <v>25</v>
      </c>
      <c r="B31" s="12"/>
      <c r="C31" s="12"/>
      <c r="D31" s="12"/>
      <c r="E31" s="12"/>
      <c r="F31" s="12"/>
      <c r="G31" s="12"/>
      <c r="H31" s="12"/>
    </row>
    <row r="32" ht="15" customHeight="1" spans="1:8" x14ac:dyDescent="0.25">
      <c r="A32" s="12" t="s">
        <v>26</v>
      </c>
      <c r="B32" s="12"/>
      <c r="C32" s="12"/>
      <c r="D32" s="12"/>
      <c r="E32" s="12"/>
      <c r="F32" s="12"/>
      <c r="G32" s="12"/>
      <c r="H32" s="12"/>
    </row>
    <row r="33" ht="15" customHeight="1" spans="1:8" x14ac:dyDescent="0.25">
      <c r="A33" s="12" t="s">
        <v>27</v>
      </c>
      <c r="B33" s="12"/>
      <c r="C33" s="12"/>
      <c r="D33" s="12"/>
      <c r="E33" s="12"/>
      <c r="F33" s="12"/>
      <c r="G33" s="12"/>
      <c r="H33" s="12"/>
    </row>
    <row r="34" ht="6" customHeight="1" spans="1:8" x14ac:dyDescent="0.25">
      <c r="A34" s="3" t="s">
        <v>2</v>
      </c>
      <c r="B34" s="3"/>
      <c r="C34" s="3"/>
      <c r="D34" s="3"/>
      <c r="E34" s="3"/>
      <c r="F34" s="3"/>
      <c r="G34" s="3"/>
      <c r="H34" s="3"/>
    </row>
    <row r="35" ht="15" customHeight="1" spans="1:8" x14ac:dyDescent="0.25">
      <c r="A35" s="13" t="s">
        <v>28</v>
      </c>
      <c r="B35" s="13"/>
      <c r="C35" s="13"/>
      <c r="D35" s="13"/>
      <c r="E35" s="13"/>
      <c r="F35" s="13"/>
      <c r="G35" s="13"/>
      <c r="H35" s="13"/>
    </row>
  </sheetData>
  <mergeCells count="35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sheetData>
    <row r="1" spans="1:5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 x14ac:dyDescent="0.25">
      <c r="A2" t="s">
        <v>34</v>
      </c>
      <c r="B2">
        <v>1.4</v>
      </c>
      <c r="C2">
        <v>60</v>
      </c>
      <c r="D2">
        <v>30</v>
      </c>
      <c r="E2">
        <v>40</v>
      </c>
    </row>
    <row r="3" spans="1:5" x14ac:dyDescent="0.25">
      <c r="A3" t="s">
        <v>35</v>
      </c>
      <c r="B3">
        <v>1</v>
      </c>
      <c r="C3">
        <v>45</v>
      </c>
      <c r="D3">
        <v>29.5</v>
      </c>
      <c r="E3">
        <v>18.8</v>
      </c>
    </row>
    <row r="4" spans="1:5" x14ac:dyDescent="0.25">
      <c r="A4" t="s">
        <v>36</v>
      </c>
      <c r="B4">
        <v>1</v>
      </c>
      <c r="C4">
        <v>60</v>
      </c>
      <c r="D4">
        <v>30</v>
      </c>
      <c r="E4">
        <v>20</v>
      </c>
    </row>
    <row r="5" spans="1:5" x14ac:dyDescent="0.25">
      <c r="A5" t="s">
        <v>37</v>
      </c>
      <c r="B5">
        <v>1</v>
      </c>
      <c r="C5">
        <v>45</v>
      </c>
      <c r="D5">
        <v>60</v>
      </c>
      <c r="E5">
        <v>40</v>
      </c>
    </row>
    <row r="6" spans="1:5" x14ac:dyDescent="0.25">
      <c r="A6" t="s">
        <v>38</v>
      </c>
      <c r="B6">
        <v>1</v>
      </c>
      <c r="C6">
        <v>59.5</v>
      </c>
      <c r="D6">
        <v>28.5</v>
      </c>
      <c r="E6">
        <v>37.5</v>
      </c>
    </row>
    <row r="7" spans="1:5" x14ac:dyDescent="0.25">
      <c r="A7" t="s">
        <v>39</v>
      </c>
      <c r="B7">
        <v>1</v>
      </c>
      <c r="C7">
        <v>59.5</v>
      </c>
      <c r="D7">
        <v>28.5</v>
      </c>
      <c r="E7">
        <v>32.5</v>
      </c>
    </row>
    <row r="8" spans="1:5" x14ac:dyDescent="0.25">
      <c r="A8" t="s">
        <v>40</v>
      </c>
      <c r="B8">
        <v>1</v>
      </c>
      <c r="C8">
        <v>59.5</v>
      </c>
      <c r="D8">
        <v>28.5</v>
      </c>
      <c r="E8">
        <v>26</v>
      </c>
    </row>
    <row r="9" spans="1:5" x14ac:dyDescent="0.25">
      <c r="A9" t="s">
        <v>41</v>
      </c>
      <c r="B9">
        <v>1</v>
      </c>
      <c r="C9">
        <v>59.5</v>
      </c>
      <c r="D9">
        <v>28.5</v>
      </c>
      <c r="E9">
        <v>19</v>
      </c>
    </row>
    <row r="10" spans="1:5" x14ac:dyDescent="0.25">
      <c r="A10" t="s">
        <v>42</v>
      </c>
      <c r="B10">
        <v>1</v>
      </c>
      <c r="C10">
        <v>52</v>
      </c>
      <c r="D10">
        <v>25.5</v>
      </c>
      <c r="E10">
        <v>37.5</v>
      </c>
    </row>
    <row r="11" spans="1:5" x14ac:dyDescent="0.25">
      <c r="A11" t="s">
        <v>43</v>
      </c>
      <c r="B11">
        <v>1</v>
      </c>
      <c r="C11">
        <v>52</v>
      </c>
      <c r="D11">
        <v>25.5</v>
      </c>
      <c r="E11">
        <v>32.5</v>
      </c>
    </row>
    <row r="12" spans="1:5" x14ac:dyDescent="0.25">
      <c r="A12" t="s">
        <v>44</v>
      </c>
      <c r="B12">
        <v>1</v>
      </c>
      <c r="C12">
        <v>52</v>
      </c>
      <c r="D12">
        <v>25.5</v>
      </c>
      <c r="E12">
        <v>26</v>
      </c>
    </row>
    <row r="13" spans="1:5" x14ac:dyDescent="0.25">
      <c r="A13" t="s">
        <v>45</v>
      </c>
      <c r="B13">
        <v>1</v>
      </c>
      <c r="C13">
        <v>52</v>
      </c>
      <c r="D13">
        <v>25.5</v>
      </c>
      <c r="E13">
        <v>19</v>
      </c>
    </row>
    <row r="14" spans="1:5" x14ac:dyDescent="0.25">
      <c r="A14" t="s">
        <v>46</v>
      </c>
      <c r="B14">
        <v>1</v>
      </c>
      <c r="C14">
        <v>45</v>
      </c>
      <c r="D14">
        <v>28.5</v>
      </c>
      <c r="E14">
        <v>37.5</v>
      </c>
    </row>
    <row r="15" spans="1:5" x14ac:dyDescent="0.25">
      <c r="A15" t="s">
        <v>47</v>
      </c>
      <c r="B15">
        <v>1</v>
      </c>
      <c r="C15">
        <v>45</v>
      </c>
      <c r="D15">
        <v>28.5</v>
      </c>
      <c r="E15">
        <v>32.5</v>
      </c>
    </row>
    <row r="16" spans="1:5" x14ac:dyDescent="0.25">
      <c r="A16" t="s">
        <v>48</v>
      </c>
      <c r="B16">
        <v>1</v>
      </c>
      <c r="C16">
        <v>45</v>
      </c>
      <c r="D16">
        <v>28.5</v>
      </c>
      <c r="E16">
        <v>26</v>
      </c>
    </row>
    <row r="17" spans="1:5" x14ac:dyDescent="0.25">
      <c r="A17" t="s">
        <v>49</v>
      </c>
      <c r="B17">
        <v>1</v>
      </c>
      <c r="C17">
        <v>45</v>
      </c>
      <c r="D17">
        <v>28.5</v>
      </c>
      <c r="E17">
        <v>19</v>
      </c>
    </row>
    <row r="18" spans="1:5" x14ac:dyDescent="0.25">
      <c r="A18" t="s">
        <v>50</v>
      </c>
      <c r="B18">
        <v>0.7</v>
      </c>
      <c r="C18">
        <v>213</v>
      </c>
      <c r="D18">
        <v>94</v>
      </c>
      <c r="E18">
        <v>60</v>
      </c>
    </row>
    <row r="19" spans="1:5" x14ac:dyDescent="0.25">
      <c r="A19" t="s">
        <v>51</v>
      </c>
    </row>
    <row r="20" spans="1:5" x14ac:dyDescent="0.25">
      <c r="A20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FormatPr defaultRowHeight="15" outlineLevelRow="0" outlineLevelCol="0" x14ac:dyDescent="55"/>
  <sheetData>
    <row r="1" spans="1:1" x14ac:dyDescent="0.25">
      <c r="A1" t="s">
        <v>53</v>
      </c>
    </row>
    <row r="2" spans="1:1" x14ac:dyDescent="0.25">
      <c r="A2" t="s">
        <v>54</v>
      </c>
    </row>
    <row r="3" spans="1:1" x14ac:dyDescent="0.25">
      <c r="A3" t="s">
        <v>55</v>
      </c>
    </row>
    <row r="4" spans="1:1" x14ac:dyDescent="0.25">
      <c r="A4" t="s">
        <v>56</v>
      </c>
    </row>
    <row r="5" spans="1:1" x14ac:dyDescent="0.25">
      <c r="A5" t="s">
        <v>57</v>
      </c>
    </row>
    <row r="6" spans="1:1" x14ac:dyDescent="0.25">
      <c r="A6" t="s">
        <v>58</v>
      </c>
    </row>
    <row r="7" spans="1:1" x14ac:dyDescent="0.25">
      <c r="A7" t="s">
        <v>59</v>
      </c>
    </row>
    <row r="8" spans="1:1" x14ac:dyDescent="0.25">
      <c r="A8" t="s">
        <v>60</v>
      </c>
    </row>
    <row r="9" spans="1:1" x14ac:dyDescent="0.25">
      <c r="A9" t="s">
        <v>61</v>
      </c>
    </row>
    <row r="10" spans="1:1" x14ac:dyDescent="0.25">
      <c r="A10" t="s">
        <v>62</v>
      </c>
    </row>
    <row r="11" spans="1:1" x14ac:dyDescent="0.25">
      <c r="A11" t="s">
        <v>63</v>
      </c>
    </row>
    <row r="12" spans="1:1" x14ac:dyDescent="0.25">
      <c r="A12" t="s">
        <v>64</v>
      </c>
    </row>
    <row r="13" spans="1:1" x14ac:dyDescent="0.25">
      <c r="A13" t="s">
        <v>65</v>
      </c>
    </row>
    <row r="14" spans="1:1" x14ac:dyDescent="0.25">
      <c r="A14" t="s">
        <v>66</v>
      </c>
    </row>
    <row r="15" spans="1:1" x14ac:dyDescent="0.25">
      <c r="A15" t="s">
        <v>67</v>
      </c>
    </row>
    <row r="16" spans="1:1" x14ac:dyDescent="0.25">
      <c r="A16" t="s">
        <v>68</v>
      </c>
    </row>
    <row r="17" spans="1:1" x14ac:dyDescent="0.25">
      <c r="A17" t="s">
        <v>69</v>
      </c>
    </row>
    <row r="18" spans="1:1" x14ac:dyDescent="0.25">
      <c r="A18" t="s">
        <v>70</v>
      </c>
    </row>
    <row r="19" spans="1:1" x14ac:dyDescent="0.25">
      <c r="A19" t="s">
        <v>71</v>
      </c>
    </row>
    <row r="20" spans="1:1" x14ac:dyDescent="0.25">
      <c r="A20" t="s">
        <v>72</v>
      </c>
    </row>
    <row r="21" spans="1:1" x14ac:dyDescent="0.25">
      <c r="A21" t="s">
        <v>73</v>
      </c>
    </row>
    <row r="22" spans="1:1" x14ac:dyDescent="0.25">
      <c r="A22" t="s">
        <v>74</v>
      </c>
    </row>
    <row r="23" spans="1:1" x14ac:dyDescent="0.25">
      <c r="A23" t="s">
        <v>75</v>
      </c>
    </row>
    <row r="24" spans="1:1" x14ac:dyDescent="0.25">
      <c r="A24" t="s">
        <v>76</v>
      </c>
    </row>
    <row r="25" spans="1:1" x14ac:dyDescent="0.25">
      <c r="A25" t="s">
        <v>77</v>
      </c>
    </row>
    <row r="26" spans="1:1" x14ac:dyDescent="0.25">
      <c r="A26" t="s">
        <v>78</v>
      </c>
    </row>
    <row r="27" spans="1:1" x14ac:dyDescent="0.25">
      <c r="A27" t="s">
        <v>79</v>
      </c>
    </row>
    <row r="28" spans="1:1" x14ac:dyDescent="0.25">
      <c r="A28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R5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6" style="14" customWidth="1"/>
    <col min="2" max="5" width="14" style="15" customWidth="1"/>
    <col min="6" max="9" width="12" style="15" customWidth="1"/>
    <col min="10" max="10" width="16" style="15" customWidth="1"/>
    <col min="11" max="11" width="14" style="15" customWidth="1"/>
    <col min="12" max="13" width="12" style="15" customWidth="1"/>
    <col min="14" max="14" width="14" style="15" customWidth="1"/>
    <col min="15" max="15" width="10" style="15" customWidth="1"/>
    <col min="16" max="16" width="12" style="15" customWidth="1"/>
    <col min="17" max="17" width="14" style="15" customWidth="1"/>
    <col min="18" max="18" width="18" style="15" customWidth="1"/>
  </cols>
  <sheetData>
    <row r="1" ht="14" customHeight="1" spans="1:18" x14ac:dyDescent="0.25">
      <c r="A1" s="16" t="s">
        <v>81</v>
      </c>
      <c r="B1" s="16"/>
      <c r="C1" s="16"/>
      <c r="D1" s="16"/>
      <c r="E1" s="16"/>
      <c r="F1" s="17" t="s">
        <v>82</v>
      </c>
      <c r="G1" s="17"/>
      <c r="H1" s="17"/>
      <c r="I1" s="17"/>
      <c r="J1" s="18" t="s">
        <v>83</v>
      </c>
      <c r="K1" s="18"/>
      <c r="L1" s="18"/>
      <c r="M1" s="18"/>
      <c r="N1" s="18"/>
      <c r="O1" s="18"/>
      <c r="P1" s="18"/>
      <c r="Q1" s="19" t="s">
        <v>84</v>
      </c>
      <c r="R1" s="19"/>
    </row>
    <row r="2" ht="52" customHeight="1" spans="1:18" x14ac:dyDescent="0.25">
      <c r="A2" s="20" t="s">
        <v>85</v>
      </c>
      <c r="B2" s="21" t="s">
        <v>86</v>
      </c>
      <c r="C2" s="21" t="s">
        <v>87</v>
      </c>
      <c r="D2" s="21" t="s">
        <v>88</v>
      </c>
      <c r="E2" s="21" t="s">
        <v>89</v>
      </c>
      <c r="F2" s="22" t="s">
        <v>90</v>
      </c>
      <c r="G2" s="22" t="s">
        <v>91</v>
      </c>
      <c r="H2" s="22" t="s">
        <v>92</v>
      </c>
      <c r="I2" s="22" t="s">
        <v>93</v>
      </c>
      <c r="J2" s="23" t="s">
        <v>53</v>
      </c>
      <c r="K2" s="23" t="s">
        <v>94</v>
      </c>
      <c r="L2" s="23" t="s">
        <v>29</v>
      </c>
      <c r="M2" s="23" t="s">
        <v>95</v>
      </c>
      <c r="N2" s="23" t="s">
        <v>96</v>
      </c>
      <c r="O2" s="23" t="s">
        <v>97</v>
      </c>
      <c r="P2" s="23" t="s">
        <v>98</v>
      </c>
      <c r="Q2" s="24" t="s">
        <v>99</v>
      </c>
      <c r="R2" s="24" t="s">
        <v>100</v>
      </c>
    </row>
    <row r="3" spans="1:17" x14ac:dyDescent="0.25">
      <c r="A3" s="14"/>
      <c r="B3" s="25"/>
      <c r="C3" s="25"/>
      <c r="D3" s="15"/>
      <c r="E3" s="15"/>
      <c r="F3" s="26">
        <f>IFERROR(VLOOKUP(L3,CARTON_LOOKUP!$A:$E,3,0),"")</f>
      </c>
      <c r="G3" s="26">
        <f>IFERROR(VLOOKUP(L3,CARTON_LOOKUP!$A:$E,4,0),"")</f>
      </c>
      <c r="H3" s="26">
        <f>IFERROR(VLOOKUP(L3,CARTON_LOOKUP!$A:$E,5,0),"")</f>
      </c>
      <c r="I3" s="27">
        <f>IFERROR(VLOOKUP(L3,CARTON_LOOKUP!$A:$E,2,0),"")</f>
      </c>
      <c r="J3" s="15" t="s">
        <v>54</v>
      </c>
      <c r="K3" s="28">
        <v>0.21</v>
      </c>
      <c r="L3" s="15" t="s">
        <v>34</v>
      </c>
      <c r="M3" s="15" t="s">
        <v>101</v>
      </c>
      <c r="N3" s="15" t="s">
        <v>102</v>
      </c>
      <c r="O3" s="15" t="s">
        <v>103</v>
      </c>
      <c r="P3" s="15" t="s">
        <v>104</v>
      </c>
      <c r="Q3" s="15"/>
    </row>
    <row r="4" spans="1:17" x14ac:dyDescent="0.25">
      <c r="A4" s="14"/>
      <c r="B4" s="25"/>
      <c r="C4" s="25"/>
      <c r="D4" s="15"/>
      <c r="E4" s="15"/>
      <c r="F4" s="26">
        <f>IFERROR(VLOOKUP(L4,CARTON_LOOKUP!$A:$E,3,0),"")</f>
      </c>
      <c r="G4" s="26">
        <f>IFERROR(VLOOKUP(L4,CARTON_LOOKUP!$A:$E,4,0),"")</f>
      </c>
      <c r="H4" s="26">
        <f>IFERROR(VLOOKUP(L4,CARTON_LOOKUP!$A:$E,5,0),"")</f>
      </c>
      <c r="I4" s="27">
        <f>IFERROR(VLOOKUP(L4,CARTON_LOOKUP!$A:$E,2,0),"")</f>
      </c>
      <c r="J4" s="15" t="s">
        <v>54</v>
      </c>
      <c r="K4" s="28">
        <v>0.21</v>
      </c>
      <c r="L4" s="15" t="s">
        <v>34</v>
      </c>
      <c r="M4" s="15" t="s">
        <v>101</v>
      </c>
      <c r="N4" s="15" t="s">
        <v>102</v>
      </c>
      <c r="O4" s="15" t="s">
        <v>103</v>
      </c>
      <c r="P4" s="15" t="s">
        <v>104</v>
      </c>
      <c r="Q4" s="15"/>
    </row>
    <row r="5" spans="1:17" x14ac:dyDescent="0.25">
      <c r="A5" s="14"/>
      <c r="B5" s="25"/>
      <c r="C5" s="25"/>
      <c r="D5" s="15"/>
      <c r="E5" s="15"/>
      <c r="F5" s="26">
        <f>IFERROR(VLOOKUP(L5,CARTON_LOOKUP!$A:$E,3,0),"")</f>
      </c>
      <c r="G5" s="26">
        <f>IFERROR(VLOOKUP(L5,CARTON_LOOKUP!$A:$E,4,0),"")</f>
      </c>
      <c r="H5" s="26">
        <f>IFERROR(VLOOKUP(L5,CARTON_LOOKUP!$A:$E,5,0),"")</f>
      </c>
      <c r="I5" s="27">
        <f>IFERROR(VLOOKUP(L5,CARTON_LOOKUP!$A:$E,2,0),"")</f>
      </c>
      <c r="J5" s="15" t="s">
        <v>54</v>
      </c>
      <c r="K5" s="28">
        <v>0.21</v>
      </c>
      <c r="L5" s="15" t="s">
        <v>34</v>
      </c>
      <c r="M5" s="15" t="s">
        <v>101</v>
      </c>
      <c r="N5" s="15" t="s">
        <v>102</v>
      </c>
      <c r="O5" s="15" t="s">
        <v>103</v>
      </c>
      <c r="P5" s="15" t="s">
        <v>104</v>
      </c>
      <c r="Q5" s="15"/>
    </row>
    <row r="6" spans="1:17" x14ac:dyDescent="0.25">
      <c r="A6" s="14"/>
      <c r="B6" s="25"/>
      <c r="C6" s="25"/>
      <c r="D6" s="15"/>
      <c r="E6" s="15"/>
      <c r="F6" s="26">
        <f>IFERROR(VLOOKUP(L6,CARTON_LOOKUP!$A:$E,3,0),"")</f>
      </c>
      <c r="G6" s="26">
        <f>IFERROR(VLOOKUP(L6,CARTON_LOOKUP!$A:$E,4,0),"")</f>
      </c>
      <c r="H6" s="26">
        <f>IFERROR(VLOOKUP(L6,CARTON_LOOKUP!$A:$E,5,0),"")</f>
      </c>
      <c r="I6" s="27">
        <f>IFERROR(VLOOKUP(L6,CARTON_LOOKUP!$A:$E,2,0),"")</f>
      </c>
      <c r="J6" s="15" t="s">
        <v>54</v>
      </c>
      <c r="K6" s="28">
        <v>0.21</v>
      </c>
      <c r="L6" s="15" t="s">
        <v>34</v>
      </c>
      <c r="M6" s="15" t="s">
        <v>101</v>
      </c>
      <c r="N6" s="15" t="s">
        <v>102</v>
      </c>
      <c r="O6" s="15" t="s">
        <v>103</v>
      </c>
      <c r="P6" s="15" t="s">
        <v>104</v>
      </c>
      <c r="Q6" s="15"/>
    </row>
    <row r="7" spans="1:17" x14ac:dyDescent="0.25">
      <c r="A7" s="14"/>
      <c r="B7" s="25"/>
      <c r="C7" s="25"/>
      <c r="D7" s="15"/>
      <c r="E7" s="15"/>
      <c r="F7" s="26">
        <f>IFERROR(VLOOKUP(L7,CARTON_LOOKUP!$A:$E,3,0),"")</f>
      </c>
      <c r="G7" s="26">
        <f>IFERROR(VLOOKUP(L7,CARTON_LOOKUP!$A:$E,4,0),"")</f>
      </c>
      <c r="H7" s="26">
        <f>IFERROR(VLOOKUP(L7,CARTON_LOOKUP!$A:$E,5,0),"")</f>
      </c>
      <c r="I7" s="27">
        <f>IFERROR(VLOOKUP(L7,CARTON_LOOKUP!$A:$E,2,0),"")</f>
      </c>
      <c r="J7" s="15" t="s">
        <v>54</v>
      </c>
      <c r="K7" s="28">
        <v>0.21</v>
      </c>
      <c r="L7" s="15" t="s">
        <v>34</v>
      </c>
      <c r="M7" s="15" t="s">
        <v>101</v>
      </c>
      <c r="N7" s="15" t="s">
        <v>102</v>
      </c>
      <c r="O7" s="15" t="s">
        <v>103</v>
      </c>
      <c r="P7" s="15" t="s">
        <v>104</v>
      </c>
      <c r="Q7" s="15"/>
    </row>
    <row r="8" spans="1:17" x14ac:dyDescent="0.25">
      <c r="A8" s="14"/>
      <c r="B8" s="25"/>
      <c r="C8" s="25"/>
      <c r="D8" s="15"/>
      <c r="E8" s="15"/>
      <c r="F8" s="26">
        <f>IFERROR(VLOOKUP(L8,CARTON_LOOKUP!$A:$E,3,0),"")</f>
      </c>
      <c r="G8" s="26">
        <f>IFERROR(VLOOKUP(L8,CARTON_LOOKUP!$A:$E,4,0),"")</f>
      </c>
      <c r="H8" s="26">
        <f>IFERROR(VLOOKUP(L8,CARTON_LOOKUP!$A:$E,5,0),"")</f>
      </c>
      <c r="I8" s="27">
        <f>IFERROR(VLOOKUP(L8,CARTON_LOOKUP!$A:$E,2,0),"")</f>
      </c>
      <c r="J8" s="15" t="s">
        <v>54</v>
      </c>
      <c r="K8" s="28">
        <v>0.21</v>
      </c>
      <c r="L8" s="15" t="s">
        <v>34</v>
      </c>
      <c r="M8" s="15" t="s">
        <v>101</v>
      </c>
      <c r="N8" s="15" t="s">
        <v>102</v>
      </c>
      <c r="O8" s="15" t="s">
        <v>103</v>
      </c>
      <c r="P8" s="15" t="s">
        <v>104</v>
      </c>
      <c r="Q8" s="15"/>
    </row>
    <row r="9" spans="1:17" x14ac:dyDescent="0.25">
      <c r="A9" s="14"/>
      <c r="B9" s="25"/>
      <c r="C9" s="25"/>
      <c r="D9" s="15"/>
      <c r="E9" s="15"/>
      <c r="F9" s="26">
        <f>IFERROR(VLOOKUP(L9,CARTON_LOOKUP!$A:$E,3,0),"")</f>
      </c>
      <c r="G9" s="26">
        <f>IFERROR(VLOOKUP(L9,CARTON_LOOKUP!$A:$E,4,0),"")</f>
      </c>
      <c r="H9" s="26">
        <f>IFERROR(VLOOKUP(L9,CARTON_LOOKUP!$A:$E,5,0),"")</f>
      </c>
      <c r="I9" s="27">
        <f>IFERROR(VLOOKUP(L9,CARTON_LOOKUP!$A:$E,2,0),"")</f>
      </c>
      <c r="J9" s="15" t="s">
        <v>54</v>
      </c>
      <c r="K9" s="28">
        <v>0.21</v>
      </c>
      <c r="L9" s="15" t="s">
        <v>34</v>
      </c>
      <c r="M9" s="15" t="s">
        <v>101</v>
      </c>
      <c r="N9" s="15" t="s">
        <v>102</v>
      </c>
      <c r="O9" s="15" t="s">
        <v>103</v>
      </c>
      <c r="P9" s="15" t="s">
        <v>104</v>
      </c>
      <c r="Q9" s="15"/>
    </row>
    <row r="10" spans="1:17" x14ac:dyDescent="0.25">
      <c r="A10" s="14"/>
      <c r="B10" s="25"/>
      <c r="C10" s="25"/>
      <c r="D10" s="15"/>
      <c r="E10" s="15"/>
      <c r="F10" s="26">
        <f>IFERROR(VLOOKUP(L10,CARTON_LOOKUP!$A:$E,3,0),"")</f>
      </c>
      <c r="G10" s="26">
        <f>IFERROR(VLOOKUP(L10,CARTON_LOOKUP!$A:$E,4,0),"")</f>
      </c>
      <c r="H10" s="26">
        <f>IFERROR(VLOOKUP(L10,CARTON_LOOKUP!$A:$E,5,0),"")</f>
      </c>
      <c r="I10" s="27">
        <f>IFERROR(VLOOKUP(L10,CARTON_LOOKUP!$A:$E,2,0),"")</f>
      </c>
      <c r="J10" s="15" t="s">
        <v>54</v>
      </c>
      <c r="K10" s="28">
        <v>0.21</v>
      </c>
      <c r="L10" s="15" t="s">
        <v>34</v>
      </c>
      <c r="M10" s="15" t="s">
        <v>101</v>
      </c>
      <c r="N10" s="15" t="s">
        <v>102</v>
      </c>
      <c r="O10" s="15" t="s">
        <v>103</v>
      </c>
      <c r="P10" s="15" t="s">
        <v>104</v>
      </c>
      <c r="Q10" s="15"/>
    </row>
    <row r="11" spans="1:17" x14ac:dyDescent="0.25">
      <c r="A11" s="14"/>
      <c r="B11" s="25"/>
      <c r="C11" s="25"/>
      <c r="D11" s="15"/>
      <c r="E11" s="15"/>
      <c r="F11" s="26">
        <f>IFERROR(VLOOKUP(L11,CARTON_LOOKUP!$A:$E,3,0),"")</f>
      </c>
      <c r="G11" s="26">
        <f>IFERROR(VLOOKUP(L11,CARTON_LOOKUP!$A:$E,4,0),"")</f>
      </c>
      <c r="H11" s="26">
        <f>IFERROR(VLOOKUP(L11,CARTON_LOOKUP!$A:$E,5,0),"")</f>
      </c>
      <c r="I11" s="27">
        <f>IFERROR(VLOOKUP(L11,CARTON_LOOKUP!$A:$E,2,0),"")</f>
      </c>
      <c r="J11" s="15" t="s">
        <v>54</v>
      </c>
      <c r="K11" s="28">
        <v>0.21</v>
      </c>
      <c r="L11" s="15" t="s">
        <v>34</v>
      </c>
      <c r="M11" s="15" t="s">
        <v>101</v>
      </c>
      <c r="N11" s="15" t="s">
        <v>102</v>
      </c>
      <c r="O11" s="15" t="s">
        <v>103</v>
      </c>
      <c r="P11" s="15" t="s">
        <v>104</v>
      </c>
      <c r="Q11" s="15"/>
    </row>
    <row r="12" spans="1:17" x14ac:dyDescent="0.25">
      <c r="A12" s="14"/>
      <c r="B12" s="25"/>
      <c r="C12" s="25"/>
      <c r="D12" s="15"/>
      <c r="E12" s="15"/>
      <c r="F12" s="26">
        <f>IFERROR(VLOOKUP(L12,CARTON_LOOKUP!$A:$E,3,0),"")</f>
      </c>
      <c r="G12" s="26">
        <f>IFERROR(VLOOKUP(L12,CARTON_LOOKUP!$A:$E,4,0),"")</f>
      </c>
      <c r="H12" s="26">
        <f>IFERROR(VLOOKUP(L12,CARTON_LOOKUP!$A:$E,5,0),"")</f>
      </c>
      <c r="I12" s="27">
        <f>IFERROR(VLOOKUP(L12,CARTON_LOOKUP!$A:$E,2,0),"")</f>
      </c>
      <c r="J12" s="15" t="s">
        <v>54</v>
      </c>
      <c r="K12" s="28">
        <v>0.21</v>
      </c>
      <c r="L12" s="15" t="s">
        <v>34</v>
      </c>
      <c r="M12" s="15" t="s">
        <v>101</v>
      </c>
      <c r="N12" s="15" t="s">
        <v>102</v>
      </c>
      <c r="O12" s="15" t="s">
        <v>103</v>
      </c>
      <c r="P12" s="15" t="s">
        <v>104</v>
      </c>
      <c r="Q12" s="15"/>
    </row>
    <row r="13" spans="1:17" x14ac:dyDescent="0.25">
      <c r="A13" s="14"/>
      <c r="B13" s="25"/>
      <c r="C13" s="25"/>
      <c r="D13" s="15"/>
      <c r="E13" s="15"/>
      <c r="F13" s="26">
        <f>IFERROR(VLOOKUP(L13,CARTON_LOOKUP!$A:$E,3,0),"")</f>
      </c>
      <c r="G13" s="26">
        <f>IFERROR(VLOOKUP(L13,CARTON_LOOKUP!$A:$E,4,0),"")</f>
      </c>
      <c r="H13" s="26">
        <f>IFERROR(VLOOKUP(L13,CARTON_LOOKUP!$A:$E,5,0),"")</f>
      </c>
      <c r="I13" s="27">
        <f>IFERROR(VLOOKUP(L13,CARTON_LOOKUP!$A:$E,2,0),"")</f>
      </c>
      <c r="J13" s="15" t="s">
        <v>54</v>
      </c>
      <c r="K13" s="28">
        <v>0.21</v>
      </c>
      <c r="L13" s="15" t="s">
        <v>34</v>
      </c>
      <c r="M13" s="15" t="s">
        <v>101</v>
      </c>
      <c r="N13" s="15" t="s">
        <v>102</v>
      </c>
      <c r="O13" s="15" t="s">
        <v>103</v>
      </c>
      <c r="P13" s="15" t="s">
        <v>104</v>
      </c>
      <c r="Q13" s="15"/>
    </row>
    <row r="14" spans="1:17" x14ac:dyDescent="0.25">
      <c r="A14" s="14"/>
      <c r="B14" s="25"/>
      <c r="C14" s="25"/>
      <c r="D14" s="15"/>
      <c r="E14" s="15"/>
      <c r="F14" s="26">
        <f>IFERROR(VLOOKUP(L14,CARTON_LOOKUP!$A:$E,3,0),"")</f>
      </c>
      <c r="G14" s="26">
        <f>IFERROR(VLOOKUP(L14,CARTON_LOOKUP!$A:$E,4,0),"")</f>
      </c>
      <c r="H14" s="26">
        <f>IFERROR(VLOOKUP(L14,CARTON_LOOKUP!$A:$E,5,0),"")</f>
      </c>
      <c r="I14" s="27">
        <f>IFERROR(VLOOKUP(L14,CARTON_LOOKUP!$A:$E,2,0),"")</f>
      </c>
      <c r="J14" s="15" t="s">
        <v>54</v>
      </c>
      <c r="K14" s="28">
        <v>0.21</v>
      </c>
      <c r="L14" s="15" t="s">
        <v>34</v>
      </c>
      <c r="M14" s="15" t="s">
        <v>101</v>
      </c>
      <c r="N14" s="15" t="s">
        <v>102</v>
      </c>
      <c r="O14" s="15" t="s">
        <v>103</v>
      </c>
      <c r="P14" s="15" t="s">
        <v>104</v>
      </c>
      <c r="Q14" s="15"/>
    </row>
    <row r="15" spans="1:17" x14ac:dyDescent="0.25">
      <c r="A15" s="14"/>
      <c r="B15" s="25"/>
      <c r="C15" s="25"/>
      <c r="D15" s="15"/>
      <c r="E15" s="15"/>
      <c r="F15" s="26">
        <f>IFERROR(VLOOKUP(L15,CARTON_LOOKUP!$A:$E,3,0),"")</f>
      </c>
      <c r="G15" s="26">
        <f>IFERROR(VLOOKUP(L15,CARTON_LOOKUP!$A:$E,4,0),"")</f>
      </c>
      <c r="H15" s="26">
        <f>IFERROR(VLOOKUP(L15,CARTON_LOOKUP!$A:$E,5,0),"")</f>
      </c>
      <c r="I15" s="27">
        <f>IFERROR(VLOOKUP(L15,CARTON_LOOKUP!$A:$E,2,0),"")</f>
      </c>
      <c r="J15" s="15" t="s">
        <v>54</v>
      </c>
      <c r="K15" s="28">
        <v>0.21</v>
      </c>
      <c r="L15" s="15" t="s">
        <v>34</v>
      </c>
      <c r="M15" s="15" t="s">
        <v>101</v>
      </c>
      <c r="N15" s="15" t="s">
        <v>102</v>
      </c>
      <c r="O15" s="15" t="s">
        <v>103</v>
      </c>
      <c r="P15" s="15" t="s">
        <v>104</v>
      </c>
      <c r="Q15" s="15"/>
    </row>
    <row r="16" spans="1:17" x14ac:dyDescent="0.25">
      <c r="A16" s="14"/>
      <c r="B16" s="25"/>
      <c r="C16" s="25"/>
      <c r="D16" s="15"/>
      <c r="E16" s="15"/>
      <c r="F16" s="26">
        <f>IFERROR(VLOOKUP(L16,CARTON_LOOKUP!$A:$E,3,0),"")</f>
      </c>
      <c r="G16" s="26">
        <f>IFERROR(VLOOKUP(L16,CARTON_LOOKUP!$A:$E,4,0),"")</f>
      </c>
      <c r="H16" s="26">
        <f>IFERROR(VLOOKUP(L16,CARTON_LOOKUP!$A:$E,5,0),"")</f>
      </c>
      <c r="I16" s="27">
        <f>IFERROR(VLOOKUP(L16,CARTON_LOOKUP!$A:$E,2,0),"")</f>
      </c>
      <c r="J16" s="15" t="s">
        <v>54</v>
      </c>
      <c r="K16" s="28">
        <v>0.21</v>
      </c>
      <c r="L16" s="15" t="s">
        <v>34</v>
      </c>
      <c r="M16" s="15" t="s">
        <v>101</v>
      </c>
      <c r="N16" s="15" t="s">
        <v>102</v>
      </c>
      <c r="O16" s="15" t="s">
        <v>103</v>
      </c>
      <c r="P16" s="15" t="s">
        <v>104</v>
      </c>
      <c r="Q16" s="15"/>
    </row>
    <row r="17" spans="1:17" x14ac:dyDescent="0.25">
      <c r="A17" s="14"/>
      <c r="B17" s="25"/>
      <c r="C17" s="25"/>
      <c r="D17" s="15"/>
      <c r="E17" s="15"/>
      <c r="F17" s="26">
        <f>IFERROR(VLOOKUP(L17,CARTON_LOOKUP!$A:$E,3,0),"")</f>
      </c>
      <c r="G17" s="26">
        <f>IFERROR(VLOOKUP(L17,CARTON_LOOKUP!$A:$E,4,0),"")</f>
      </c>
      <c r="H17" s="26">
        <f>IFERROR(VLOOKUP(L17,CARTON_LOOKUP!$A:$E,5,0),"")</f>
      </c>
      <c r="I17" s="27">
        <f>IFERROR(VLOOKUP(L17,CARTON_LOOKUP!$A:$E,2,0),"")</f>
      </c>
      <c r="J17" s="15" t="s">
        <v>54</v>
      </c>
      <c r="K17" s="28">
        <v>0.21</v>
      </c>
      <c r="L17" s="15" t="s">
        <v>34</v>
      </c>
      <c r="M17" s="15" t="s">
        <v>101</v>
      </c>
      <c r="N17" s="15" t="s">
        <v>102</v>
      </c>
      <c r="O17" s="15" t="s">
        <v>103</v>
      </c>
      <c r="P17" s="15" t="s">
        <v>104</v>
      </c>
      <c r="Q17" s="15"/>
    </row>
    <row r="18" spans="1:17" x14ac:dyDescent="0.25">
      <c r="A18" s="14"/>
      <c r="B18" s="25"/>
      <c r="C18" s="25"/>
      <c r="D18" s="15"/>
      <c r="E18" s="15"/>
      <c r="F18" s="26">
        <f>IFERROR(VLOOKUP(L18,CARTON_LOOKUP!$A:$E,3,0),"")</f>
      </c>
      <c r="G18" s="26">
        <f>IFERROR(VLOOKUP(L18,CARTON_LOOKUP!$A:$E,4,0),"")</f>
      </c>
      <c r="H18" s="26">
        <f>IFERROR(VLOOKUP(L18,CARTON_LOOKUP!$A:$E,5,0),"")</f>
      </c>
      <c r="I18" s="27">
        <f>IFERROR(VLOOKUP(L18,CARTON_LOOKUP!$A:$E,2,0),"")</f>
      </c>
      <c r="J18" s="15" t="s">
        <v>54</v>
      </c>
      <c r="K18" s="28">
        <v>0.21</v>
      </c>
      <c r="L18" s="15" t="s">
        <v>34</v>
      </c>
      <c r="M18" s="15" t="s">
        <v>101</v>
      </c>
      <c r="N18" s="15" t="s">
        <v>102</v>
      </c>
      <c r="O18" s="15" t="s">
        <v>103</v>
      </c>
      <c r="P18" s="15" t="s">
        <v>104</v>
      </c>
      <c r="Q18" s="15"/>
    </row>
    <row r="19" spans="1:17" x14ac:dyDescent="0.25">
      <c r="A19" s="14"/>
      <c r="B19" s="25"/>
      <c r="C19" s="25"/>
      <c r="D19" s="15"/>
      <c r="E19" s="15"/>
      <c r="F19" s="26">
        <f>IFERROR(VLOOKUP(L19,CARTON_LOOKUP!$A:$E,3,0),"")</f>
      </c>
      <c r="G19" s="26">
        <f>IFERROR(VLOOKUP(L19,CARTON_LOOKUP!$A:$E,4,0),"")</f>
      </c>
      <c r="H19" s="26">
        <f>IFERROR(VLOOKUP(L19,CARTON_LOOKUP!$A:$E,5,0),"")</f>
      </c>
      <c r="I19" s="27">
        <f>IFERROR(VLOOKUP(L19,CARTON_LOOKUP!$A:$E,2,0),"")</f>
      </c>
      <c r="J19" s="15" t="s">
        <v>54</v>
      </c>
      <c r="K19" s="28">
        <v>0.21</v>
      </c>
      <c r="L19" s="15" t="s">
        <v>34</v>
      </c>
      <c r="M19" s="15" t="s">
        <v>101</v>
      </c>
      <c r="N19" s="15" t="s">
        <v>102</v>
      </c>
      <c r="O19" s="15" t="s">
        <v>103</v>
      </c>
      <c r="P19" s="15" t="s">
        <v>104</v>
      </c>
      <c r="Q19" s="15"/>
    </row>
    <row r="20" spans="1:17" x14ac:dyDescent="0.25">
      <c r="A20" s="14"/>
      <c r="B20" s="25"/>
      <c r="C20" s="25"/>
      <c r="D20" s="15"/>
      <c r="E20" s="15"/>
      <c r="F20" s="26">
        <f>IFERROR(VLOOKUP(L20,CARTON_LOOKUP!$A:$E,3,0),"")</f>
      </c>
      <c r="G20" s="26">
        <f>IFERROR(VLOOKUP(L20,CARTON_LOOKUP!$A:$E,4,0),"")</f>
      </c>
      <c r="H20" s="26">
        <f>IFERROR(VLOOKUP(L20,CARTON_LOOKUP!$A:$E,5,0),"")</f>
      </c>
      <c r="I20" s="27">
        <f>IFERROR(VLOOKUP(L20,CARTON_LOOKUP!$A:$E,2,0),"")</f>
      </c>
      <c r="J20" s="15" t="s">
        <v>54</v>
      </c>
      <c r="K20" s="28">
        <v>0.21</v>
      </c>
      <c r="L20" s="15" t="s">
        <v>34</v>
      </c>
      <c r="M20" s="15" t="s">
        <v>101</v>
      </c>
      <c r="N20" s="15" t="s">
        <v>102</v>
      </c>
      <c r="O20" s="15" t="s">
        <v>103</v>
      </c>
      <c r="P20" s="15" t="s">
        <v>104</v>
      </c>
      <c r="Q20" s="15"/>
    </row>
    <row r="21" spans="1:17" x14ac:dyDescent="0.25">
      <c r="A21" s="14"/>
      <c r="B21" s="25"/>
      <c r="C21" s="25"/>
      <c r="D21" s="15"/>
      <c r="E21" s="15"/>
      <c r="F21" s="26">
        <f>IFERROR(VLOOKUP(L21,CARTON_LOOKUP!$A:$E,3,0),"")</f>
      </c>
      <c r="G21" s="26">
        <f>IFERROR(VLOOKUP(L21,CARTON_LOOKUP!$A:$E,4,0),"")</f>
      </c>
      <c r="H21" s="26">
        <f>IFERROR(VLOOKUP(L21,CARTON_LOOKUP!$A:$E,5,0),"")</f>
      </c>
      <c r="I21" s="27">
        <f>IFERROR(VLOOKUP(L21,CARTON_LOOKUP!$A:$E,2,0),"")</f>
      </c>
      <c r="J21" s="15" t="s">
        <v>54</v>
      </c>
      <c r="K21" s="28">
        <v>0.21</v>
      </c>
      <c r="L21" s="15" t="s">
        <v>34</v>
      </c>
      <c r="M21" s="15" t="s">
        <v>101</v>
      </c>
      <c r="N21" s="15" t="s">
        <v>102</v>
      </c>
      <c r="O21" s="15" t="s">
        <v>103</v>
      </c>
      <c r="P21" s="15" t="s">
        <v>104</v>
      </c>
      <c r="Q21" s="15"/>
    </row>
    <row r="22" spans="1:17" x14ac:dyDescent="0.25">
      <c r="A22" s="14"/>
      <c r="B22" s="25"/>
      <c r="C22" s="25"/>
      <c r="D22" s="15"/>
      <c r="E22" s="15"/>
      <c r="F22" s="26">
        <f>IFERROR(VLOOKUP(L22,CARTON_LOOKUP!$A:$E,3,0),"")</f>
      </c>
      <c r="G22" s="26">
        <f>IFERROR(VLOOKUP(L22,CARTON_LOOKUP!$A:$E,4,0),"")</f>
      </c>
      <c r="H22" s="26">
        <f>IFERROR(VLOOKUP(L22,CARTON_LOOKUP!$A:$E,5,0),"")</f>
      </c>
      <c r="I22" s="27">
        <f>IFERROR(VLOOKUP(L22,CARTON_LOOKUP!$A:$E,2,0),"")</f>
      </c>
      <c r="J22" s="15" t="s">
        <v>54</v>
      </c>
      <c r="K22" s="28">
        <v>0.21</v>
      </c>
      <c r="L22" s="15" t="s">
        <v>34</v>
      </c>
      <c r="M22" s="15" t="s">
        <v>101</v>
      </c>
      <c r="N22" s="15" t="s">
        <v>102</v>
      </c>
      <c r="O22" s="15" t="s">
        <v>103</v>
      </c>
      <c r="P22" s="15" t="s">
        <v>104</v>
      </c>
      <c r="Q22" s="15"/>
    </row>
    <row r="23" spans="1:17" x14ac:dyDescent="0.25">
      <c r="A23" s="14"/>
      <c r="B23" s="25"/>
      <c r="C23" s="25"/>
      <c r="D23" s="15"/>
      <c r="E23" s="15"/>
      <c r="F23" s="26">
        <f>IFERROR(VLOOKUP(L23,CARTON_LOOKUP!$A:$E,3,0),"")</f>
      </c>
      <c r="G23" s="26">
        <f>IFERROR(VLOOKUP(L23,CARTON_LOOKUP!$A:$E,4,0),"")</f>
      </c>
      <c r="H23" s="26">
        <f>IFERROR(VLOOKUP(L23,CARTON_LOOKUP!$A:$E,5,0),"")</f>
      </c>
      <c r="I23" s="27">
        <f>IFERROR(VLOOKUP(L23,CARTON_LOOKUP!$A:$E,2,0),"")</f>
      </c>
      <c r="J23" s="15" t="s">
        <v>54</v>
      </c>
      <c r="K23" s="28">
        <v>0.21</v>
      </c>
      <c r="L23" s="15" t="s">
        <v>34</v>
      </c>
      <c r="M23" s="15" t="s">
        <v>101</v>
      </c>
      <c r="N23" s="15" t="s">
        <v>102</v>
      </c>
      <c r="O23" s="15" t="s">
        <v>103</v>
      </c>
      <c r="P23" s="15" t="s">
        <v>104</v>
      </c>
      <c r="Q23" s="15"/>
    </row>
    <row r="24" spans="1:17" x14ac:dyDescent="0.25">
      <c r="A24" s="14"/>
      <c r="B24" s="25"/>
      <c r="C24" s="25"/>
      <c r="D24" s="15"/>
      <c r="E24" s="15"/>
      <c r="F24" s="26">
        <f>IFERROR(VLOOKUP(L24,CARTON_LOOKUP!$A:$E,3,0),"")</f>
      </c>
      <c r="G24" s="26">
        <f>IFERROR(VLOOKUP(L24,CARTON_LOOKUP!$A:$E,4,0),"")</f>
      </c>
      <c r="H24" s="26">
        <f>IFERROR(VLOOKUP(L24,CARTON_LOOKUP!$A:$E,5,0),"")</f>
      </c>
      <c r="I24" s="27">
        <f>IFERROR(VLOOKUP(L24,CARTON_LOOKUP!$A:$E,2,0),"")</f>
      </c>
      <c r="J24" s="15" t="s">
        <v>54</v>
      </c>
      <c r="K24" s="28">
        <v>0.21</v>
      </c>
      <c r="L24" s="15" t="s">
        <v>34</v>
      </c>
      <c r="M24" s="15" t="s">
        <v>101</v>
      </c>
      <c r="N24" s="15" t="s">
        <v>102</v>
      </c>
      <c r="O24" s="15" t="s">
        <v>103</v>
      </c>
      <c r="P24" s="15" t="s">
        <v>104</v>
      </c>
      <c r="Q24" s="15"/>
    </row>
    <row r="25" spans="1:17" x14ac:dyDescent="0.25">
      <c r="A25" s="14"/>
      <c r="B25" s="25"/>
      <c r="C25" s="25"/>
      <c r="D25" s="15"/>
      <c r="E25" s="15"/>
      <c r="F25" s="26">
        <f>IFERROR(VLOOKUP(L25,CARTON_LOOKUP!$A:$E,3,0),"")</f>
      </c>
      <c r="G25" s="26">
        <f>IFERROR(VLOOKUP(L25,CARTON_LOOKUP!$A:$E,4,0),"")</f>
      </c>
      <c r="H25" s="26">
        <f>IFERROR(VLOOKUP(L25,CARTON_LOOKUP!$A:$E,5,0),"")</f>
      </c>
      <c r="I25" s="27">
        <f>IFERROR(VLOOKUP(L25,CARTON_LOOKUP!$A:$E,2,0),"")</f>
      </c>
      <c r="J25" s="15" t="s">
        <v>54</v>
      </c>
      <c r="K25" s="28">
        <v>0.21</v>
      </c>
      <c r="L25" s="15" t="s">
        <v>34</v>
      </c>
      <c r="M25" s="15" t="s">
        <v>101</v>
      </c>
      <c r="N25" s="15" t="s">
        <v>102</v>
      </c>
      <c r="O25" s="15" t="s">
        <v>103</v>
      </c>
      <c r="P25" s="15" t="s">
        <v>104</v>
      </c>
      <c r="Q25" s="15"/>
    </row>
    <row r="26" spans="1:17" x14ac:dyDescent="0.25">
      <c r="A26" s="14"/>
      <c r="B26" s="25"/>
      <c r="C26" s="25"/>
      <c r="D26" s="15"/>
      <c r="E26" s="15"/>
      <c r="F26" s="26">
        <f>IFERROR(VLOOKUP(L26,CARTON_LOOKUP!$A:$E,3,0),"")</f>
      </c>
      <c r="G26" s="26">
        <f>IFERROR(VLOOKUP(L26,CARTON_LOOKUP!$A:$E,4,0),"")</f>
      </c>
      <c r="H26" s="26">
        <f>IFERROR(VLOOKUP(L26,CARTON_LOOKUP!$A:$E,5,0),"")</f>
      </c>
      <c r="I26" s="27">
        <f>IFERROR(VLOOKUP(L26,CARTON_LOOKUP!$A:$E,2,0),"")</f>
      </c>
      <c r="J26" s="15" t="s">
        <v>54</v>
      </c>
      <c r="K26" s="28">
        <v>0.21</v>
      </c>
      <c r="L26" s="15" t="s">
        <v>34</v>
      </c>
      <c r="M26" s="15" t="s">
        <v>101</v>
      </c>
      <c r="N26" s="15" t="s">
        <v>102</v>
      </c>
      <c r="O26" s="15" t="s">
        <v>103</v>
      </c>
      <c r="P26" s="15" t="s">
        <v>104</v>
      </c>
      <c r="Q26" s="15"/>
    </row>
    <row r="27" spans="1:17" x14ac:dyDescent="0.25">
      <c r="A27" s="14"/>
      <c r="B27" s="25"/>
      <c r="C27" s="25"/>
      <c r="D27" s="15"/>
      <c r="E27" s="15"/>
      <c r="F27" s="26">
        <f>IFERROR(VLOOKUP(L27,CARTON_LOOKUP!$A:$E,3,0),"")</f>
      </c>
      <c r="G27" s="26">
        <f>IFERROR(VLOOKUP(L27,CARTON_LOOKUP!$A:$E,4,0),"")</f>
      </c>
      <c r="H27" s="26">
        <f>IFERROR(VLOOKUP(L27,CARTON_LOOKUP!$A:$E,5,0),"")</f>
      </c>
      <c r="I27" s="27">
        <f>IFERROR(VLOOKUP(L27,CARTON_LOOKUP!$A:$E,2,0),"")</f>
      </c>
      <c r="J27" s="15" t="s">
        <v>54</v>
      </c>
      <c r="K27" s="28">
        <v>0.21</v>
      </c>
      <c r="L27" s="15" t="s">
        <v>34</v>
      </c>
      <c r="M27" s="15" t="s">
        <v>101</v>
      </c>
      <c r="N27" s="15" t="s">
        <v>102</v>
      </c>
      <c r="O27" s="15" t="s">
        <v>103</v>
      </c>
      <c r="P27" s="15" t="s">
        <v>104</v>
      </c>
      <c r="Q27" s="15"/>
    </row>
    <row r="28" spans="1:17" x14ac:dyDescent="0.25">
      <c r="A28" s="14"/>
      <c r="B28" s="25"/>
      <c r="C28" s="25"/>
      <c r="D28" s="15"/>
      <c r="E28" s="15"/>
      <c r="F28" s="26">
        <f>IFERROR(VLOOKUP(L28,CARTON_LOOKUP!$A:$E,3,0),"")</f>
      </c>
      <c r="G28" s="26">
        <f>IFERROR(VLOOKUP(L28,CARTON_LOOKUP!$A:$E,4,0),"")</f>
      </c>
      <c r="H28" s="26">
        <f>IFERROR(VLOOKUP(L28,CARTON_LOOKUP!$A:$E,5,0),"")</f>
      </c>
      <c r="I28" s="27">
        <f>IFERROR(VLOOKUP(L28,CARTON_LOOKUP!$A:$E,2,0),"")</f>
      </c>
      <c r="J28" s="15" t="s">
        <v>54</v>
      </c>
      <c r="K28" s="28">
        <v>0.21</v>
      </c>
      <c r="L28" s="15" t="s">
        <v>34</v>
      </c>
      <c r="M28" s="15" t="s">
        <v>101</v>
      </c>
      <c r="N28" s="15" t="s">
        <v>102</v>
      </c>
      <c r="O28" s="15" t="s">
        <v>103</v>
      </c>
      <c r="P28" s="15" t="s">
        <v>104</v>
      </c>
      <c r="Q28" s="15"/>
    </row>
    <row r="29" spans="1:17" x14ac:dyDescent="0.25">
      <c r="A29" s="14"/>
      <c r="B29" s="25"/>
      <c r="C29" s="25"/>
      <c r="D29" s="15"/>
      <c r="E29" s="15"/>
      <c r="F29" s="26">
        <f>IFERROR(VLOOKUP(L29,CARTON_LOOKUP!$A:$E,3,0),"")</f>
      </c>
      <c r="G29" s="26">
        <f>IFERROR(VLOOKUP(L29,CARTON_LOOKUP!$A:$E,4,0),"")</f>
      </c>
      <c r="H29" s="26">
        <f>IFERROR(VLOOKUP(L29,CARTON_LOOKUP!$A:$E,5,0),"")</f>
      </c>
      <c r="I29" s="27">
        <f>IFERROR(VLOOKUP(L29,CARTON_LOOKUP!$A:$E,2,0),"")</f>
      </c>
      <c r="J29" s="15" t="s">
        <v>54</v>
      </c>
      <c r="K29" s="28">
        <v>0.21</v>
      </c>
      <c r="L29" s="15" t="s">
        <v>34</v>
      </c>
      <c r="M29" s="15" t="s">
        <v>101</v>
      </c>
      <c r="N29" s="15" t="s">
        <v>102</v>
      </c>
      <c r="O29" s="15" t="s">
        <v>103</v>
      </c>
      <c r="P29" s="15" t="s">
        <v>104</v>
      </c>
      <c r="Q29" s="15"/>
    </row>
    <row r="30" spans="1:17" x14ac:dyDescent="0.25">
      <c r="A30" s="14"/>
      <c r="B30" s="25"/>
      <c r="C30" s="25"/>
      <c r="D30" s="15"/>
      <c r="E30" s="15"/>
      <c r="F30" s="26">
        <f>IFERROR(VLOOKUP(L30,CARTON_LOOKUP!$A:$E,3,0),"")</f>
      </c>
      <c r="G30" s="26">
        <f>IFERROR(VLOOKUP(L30,CARTON_LOOKUP!$A:$E,4,0),"")</f>
      </c>
      <c r="H30" s="26">
        <f>IFERROR(VLOOKUP(L30,CARTON_LOOKUP!$A:$E,5,0),"")</f>
      </c>
      <c r="I30" s="27">
        <f>IFERROR(VLOOKUP(L30,CARTON_LOOKUP!$A:$E,2,0),"")</f>
      </c>
      <c r="J30" s="15" t="s">
        <v>54</v>
      </c>
      <c r="K30" s="28">
        <v>0.21</v>
      </c>
      <c r="L30" s="15" t="s">
        <v>34</v>
      </c>
      <c r="M30" s="15" t="s">
        <v>101</v>
      </c>
      <c r="N30" s="15" t="s">
        <v>102</v>
      </c>
      <c r="O30" s="15" t="s">
        <v>103</v>
      </c>
      <c r="P30" s="15" t="s">
        <v>104</v>
      </c>
      <c r="Q30" s="15"/>
    </row>
    <row r="31" spans="1:17" x14ac:dyDescent="0.25">
      <c r="A31" s="14"/>
      <c r="B31" s="25"/>
      <c r="C31" s="25"/>
      <c r="D31" s="15"/>
      <c r="E31" s="15"/>
      <c r="F31" s="26">
        <f>IFERROR(VLOOKUP(L31,CARTON_LOOKUP!$A:$E,3,0),"")</f>
      </c>
      <c r="G31" s="26">
        <f>IFERROR(VLOOKUP(L31,CARTON_LOOKUP!$A:$E,4,0),"")</f>
      </c>
      <c r="H31" s="26">
        <f>IFERROR(VLOOKUP(L31,CARTON_LOOKUP!$A:$E,5,0),"")</f>
      </c>
      <c r="I31" s="27">
        <f>IFERROR(VLOOKUP(L31,CARTON_LOOKUP!$A:$E,2,0),"")</f>
      </c>
      <c r="J31" s="15" t="s">
        <v>54</v>
      </c>
      <c r="K31" s="28">
        <v>0.21</v>
      </c>
      <c r="L31" s="15" t="s">
        <v>34</v>
      </c>
      <c r="M31" s="15" t="s">
        <v>101</v>
      </c>
      <c r="N31" s="15" t="s">
        <v>102</v>
      </c>
      <c r="O31" s="15" t="s">
        <v>103</v>
      </c>
      <c r="P31" s="15" t="s">
        <v>104</v>
      </c>
      <c r="Q31" s="15"/>
    </row>
    <row r="32" spans="1:17" x14ac:dyDescent="0.25">
      <c r="A32" s="14"/>
      <c r="B32" s="25"/>
      <c r="C32" s="25"/>
      <c r="D32" s="15"/>
      <c r="E32" s="15"/>
      <c r="F32" s="26">
        <f>IFERROR(VLOOKUP(L32,CARTON_LOOKUP!$A:$E,3,0),"")</f>
      </c>
      <c r="G32" s="26">
        <f>IFERROR(VLOOKUP(L32,CARTON_LOOKUP!$A:$E,4,0),"")</f>
      </c>
      <c r="H32" s="26">
        <f>IFERROR(VLOOKUP(L32,CARTON_LOOKUP!$A:$E,5,0),"")</f>
      </c>
      <c r="I32" s="27">
        <f>IFERROR(VLOOKUP(L32,CARTON_LOOKUP!$A:$E,2,0),"")</f>
      </c>
      <c r="J32" s="15" t="s">
        <v>54</v>
      </c>
      <c r="K32" s="28">
        <v>0.21</v>
      </c>
      <c r="L32" s="15" t="s">
        <v>34</v>
      </c>
      <c r="M32" s="15" t="s">
        <v>101</v>
      </c>
      <c r="N32" s="15" t="s">
        <v>102</v>
      </c>
      <c r="O32" s="15" t="s">
        <v>103</v>
      </c>
      <c r="P32" s="15" t="s">
        <v>104</v>
      </c>
      <c r="Q32" s="15"/>
    </row>
    <row r="33" spans="1:17" x14ac:dyDescent="0.25">
      <c r="A33" s="14"/>
      <c r="B33" s="25"/>
      <c r="C33" s="25"/>
      <c r="D33" s="15"/>
      <c r="E33" s="15"/>
      <c r="F33" s="26">
        <f>IFERROR(VLOOKUP(L33,CARTON_LOOKUP!$A:$E,3,0),"")</f>
      </c>
      <c r="G33" s="26">
        <f>IFERROR(VLOOKUP(L33,CARTON_LOOKUP!$A:$E,4,0),"")</f>
      </c>
      <c r="H33" s="26">
        <f>IFERROR(VLOOKUP(L33,CARTON_LOOKUP!$A:$E,5,0),"")</f>
      </c>
      <c r="I33" s="27">
        <f>IFERROR(VLOOKUP(L33,CARTON_LOOKUP!$A:$E,2,0),"")</f>
      </c>
      <c r="J33" s="15" t="s">
        <v>54</v>
      </c>
      <c r="K33" s="28">
        <v>0.21</v>
      </c>
      <c r="L33" s="15" t="s">
        <v>34</v>
      </c>
      <c r="M33" s="15" t="s">
        <v>101</v>
      </c>
      <c r="N33" s="15" t="s">
        <v>102</v>
      </c>
      <c r="O33" s="15" t="s">
        <v>103</v>
      </c>
      <c r="P33" s="15" t="s">
        <v>104</v>
      </c>
      <c r="Q33" s="15"/>
    </row>
    <row r="34" spans="1:17" x14ac:dyDescent="0.25">
      <c r="A34" s="14"/>
      <c r="B34" s="25"/>
      <c r="C34" s="25"/>
      <c r="D34" s="15"/>
      <c r="E34" s="15"/>
      <c r="F34" s="26">
        <f>IFERROR(VLOOKUP(L34,CARTON_LOOKUP!$A:$E,3,0),"")</f>
      </c>
      <c r="G34" s="26">
        <f>IFERROR(VLOOKUP(L34,CARTON_LOOKUP!$A:$E,4,0),"")</f>
      </c>
      <c r="H34" s="26">
        <f>IFERROR(VLOOKUP(L34,CARTON_LOOKUP!$A:$E,5,0),"")</f>
      </c>
      <c r="I34" s="27">
        <f>IFERROR(VLOOKUP(L34,CARTON_LOOKUP!$A:$E,2,0),"")</f>
      </c>
      <c r="J34" s="15" t="s">
        <v>54</v>
      </c>
      <c r="K34" s="28">
        <v>0.21</v>
      </c>
      <c r="L34" s="15" t="s">
        <v>34</v>
      </c>
      <c r="M34" s="15" t="s">
        <v>101</v>
      </c>
      <c r="N34" s="15" t="s">
        <v>102</v>
      </c>
      <c r="O34" s="15" t="s">
        <v>103</v>
      </c>
      <c r="P34" s="15" t="s">
        <v>104</v>
      </c>
      <c r="Q34" s="15"/>
    </row>
    <row r="35" spans="1:17" x14ac:dyDescent="0.25">
      <c r="A35" s="14"/>
      <c r="B35" s="25"/>
      <c r="C35" s="25"/>
      <c r="D35" s="15"/>
      <c r="E35" s="15"/>
      <c r="F35" s="26">
        <f>IFERROR(VLOOKUP(L35,CARTON_LOOKUP!$A:$E,3,0),"")</f>
      </c>
      <c r="G35" s="26">
        <f>IFERROR(VLOOKUP(L35,CARTON_LOOKUP!$A:$E,4,0),"")</f>
      </c>
      <c r="H35" s="26">
        <f>IFERROR(VLOOKUP(L35,CARTON_LOOKUP!$A:$E,5,0),"")</f>
      </c>
      <c r="I35" s="27">
        <f>IFERROR(VLOOKUP(L35,CARTON_LOOKUP!$A:$E,2,0),"")</f>
      </c>
      <c r="J35" s="15" t="s">
        <v>54</v>
      </c>
      <c r="K35" s="28">
        <v>0.21</v>
      </c>
      <c r="L35" s="15" t="s">
        <v>34</v>
      </c>
      <c r="M35" s="15" t="s">
        <v>101</v>
      </c>
      <c r="N35" s="15" t="s">
        <v>102</v>
      </c>
      <c r="O35" s="15" t="s">
        <v>103</v>
      </c>
      <c r="P35" s="15" t="s">
        <v>104</v>
      </c>
      <c r="Q35" s="15"/>
    </row>
    <row r="36" spans="1:17" x14ac:dyDescent="0.25">
      <c r="A36" s="14"/>
      <c r="B36" s="25"/>
      <c r="C36" s="25"/>
      <c r="D36" s="15"/>
      <c r="E36" s="15"/>
      <c r="F36" s="26">
        <f>IFERROR(VLOOKUP(L36,CARTON_LOOKUP!$A:$E,3,0),"")</f>
      </c>
      <c r="G36" s="26">
        <f>IFERROR(VLOOKUP(L36,CARTON_LOOKUP!$A:$E,4,0),"")</f>
      </c>
      <c r="H36" s="26">
        <f>IFERROR(VLOOKUP(L36,CARTON_LOOKUP!$A:$E,5,0),"")</f>
      </c>
      <c r="I36" s="27">
        <f>IFERROR(VLOOKUP(L36,CARTON_LOOKUP!$A:$E,2,0),"")</f>
      </c>
      <c r="J36" s="15" t="s">
        <v>54</v>
      </c>
      <c r="K36" s="28">
        <v>0.21</v>
      </c>
      <c r="L36" s="15" t="s">
        <v>34</v>
      </c>
      <c r="M36" s="15" t="s">
        <v>101</v>
      </c>
      <c r="N36" s="15" t="s">
        <v>102</v>
      </c>
      <c r="O36" s="15" t="s">
        <v>103</v>
      </c>
      <c r="P36" s="15" t="s">
        <v>104</v>
      </c>
      <c r="Q36" s="15"/>
    </row>
    <row r="37" spans="1:17" x14ac:dyDescent="0.25">
      <c r="A37" s="14"/>
      <c r="B37" s="25"/>
      <c r="C37" s="25"/>
      <c r="D37" s="15"/>
      <c r="E37" s="15"/>
      <c r="F37" s="26">
        <f>IFERROR(VLOOKUP(L37,CARTON_LOOKUP!$A:$E,3,0),"")</f>
      </c>
      <c r="G37" s="26">
        <f>IFERROR(VLOOKUP(L37,CARTON_LOOKUP!$A:$E,4,0),"")</f>
      </c>
      <c r="H37" s="26">
        <f>IFERROR(VLOOKUP(L37,CARTON_LOOKUP!$A:$E,5,0),"")</f>
      </c>
      <c r="I37" s="27">
        <f>IFERROR(VLOOKUP(L37,CARTON_LOOKUP!$A:$E,2,0),"")</f>
      </c>
      <c r="J37" s="15" t="s">
        <v>54</v>
      </c>
      <c r="K37" s="28">
        <v>0.21</v>
      </c>
      <c r="L37" s="15" t="s">
        <v>34</v>
      </c>
      <c r="M37" s="15" t="s">
        <v>101</v>
      </c>
      <c r="N37" s="15" t="s">
        <v>102</v>
      </c>
      <c r="O37" s="15" t="s">
        <v>103</v>
      </c>
      <c r="P37" s="15" t="s">
        <v>104</v>
      </c>
      <c r="Q37" s="15"/>
    </row>
    <row r="38" spans="1:17" x14ac:dyDescent="0.25">
      <c r="A38" s="14"/>
      <c r="B38" s="25"/>
      <c r="C38" s="25"/>
      <c r="D38" s="15"/>
      <c r="E38" s="15"/>
      <c r="F38" s="26">
        <f>IFERROR(VLOOKUP(L38,CARTON_LOOKUP!$A:$E,3,0),"")</f>
      </c>
      <c r="G38" s="26">
        <f>IFERROR(VLOOKUP(L38,CARTON_LOOKUP!$A:$E,4,0),"")</f>
      </c>
      <c r="H38" s="26">
        <f>IFERROR(VLOOKUP(L38,CARTON_LOOKUP!$A:$E,5,0),"")</f>
      </c>
      <c r="I38" s="27">
        <f>IFERROR(VLOOKUP(L38,CARTON_LOOKUP!$A:$E,2,0),"")</f>
      </c>
      <c r="J38" s="15" t="s">
        <v>54</v>
      </c>
      <c r="K38" s="28">
        <v>0.21</v>
      </c>
      <c r="L38" s="15" t="s">
        <v>34</v>
      </c>
      <c r="M38" s="15" t="s">
        <v>101</v>
      </c>
      <c r="N38" s="15" t="s">
        <v>102</v>
      </c>
      <c r="O38" s="15" t="s">
        <v>103</v>
      </c>
      <c r="P38" s="15" t="s">
        <v>104</v>
      </c>
      <c r="Q38" s="15"/>
    </row>
    <row r="39" spans="1:17" x14ac:dyDescent="0.25">
      <c r="A39" s="14"/>
      <c r="B39" s="25"/>
      <c r="C39" s="25"/>
      <c r="D39" s="15"/>
      <c r="E39" s="15"/>
      <c r="F39" s="26">
        <f>IFERROR(VLOOKUP(L39,CARTON_LOOKUP!$A:$E,3,0),"")</f>
      </c>
      <c r="G39" s="26">
        <f>IFERROR(VLOOKUP(L39,CARTON_LOOKUP!$A:$E,4,0),"")</f>
      </c>
      <c r="H39" s="26">
        <f>IFERROR(VLOOKUP(L39,CARTON_LOOKUP!$A:$E,5,0),"")</f>
      </c>
      <c r="I39" s="27">
        <f>IFERROR(VLOOKUP(L39,CARTON_LOOKUP!$A:$E,2,0),"")</f>
      </c>
      <c r="J39" s="15" t="s">
        <v>54</v>
      </c>
      <c r="K39" s="28">
        <v>0.21</v>
      </c>
      <c r="L39" s="15" t="s">
        <v>34</v>
      </c>
      <c r="M39" s="15" t="s">
        <v>101</v>
      </c>
      <c r="N39" s="15" t="s">
        <v>102</v>
      </c>
      <c r="O39" s="15" t="s">
        <v>103</v>
      </c>
      <c r="P39" s="15" t="s">
        <v>104</v>
      </c>
      <c r="Q39" s="15"/>
    </row>
    <row r="40" spans="1:17" x14ac:dyDescent="0.25">
      <c r="A40" s="14"/>
      <c r="B40" s="25"/>
      <c r="C40" s="25"/>
      <c r="D40" s="15"/>
      <c r="E40" s="15"/>
      <c r="F40" s="26">
        <f>IFERROR(VLOOKUP(L40,CARTON_LOOKUP!$A:$E,3,0),"")</f>
      </c>
      <c r="G40" s="26">
        <f>IFERROR(VLOOKUP(L40,CARTON_LOOKUP!$A:$E,4,0),"")</f>
      </c>
      <c r="H40" s="26">
        <f>IFERROR(VLOOKUP(L40,CARTON_LOOKUP!$A:$E,5,0),"")</f>
      </c>
      <c r="I40" s="27">
        <f>IFERROR(VLOOKUP(L40,CARTON_LOOKUP!$A:$E,2,0),"")</f>
      </c>
      <c r="J40" s="15" t="s">
        <v>54</v>
      </c>
      <c r="K40" s="28">
        <v>0.21</v>
      </c>
      <c r="L40" s="15" t="s">
        <v>34</v>
      </c>
      <c r="M40" s="15" t="s">
        <v>101</v>
      </c>
      <c r="N40" s="15" t="s">
        <v>102</v>
      </c>
      <c r="O40" s="15" t="s">
        <v>103</v>
      </c>
      <c r="P40" s="15" t="s">
        <v>104</v>
      </c>
      <c r="Q40" s="15"/>
    </row>
    <row r="41" spans="1:17" x14ac:dyDescent="0.25">
      <c r="A41" s="14"/>
      <c r="B41" s="25"/>
      <c r="C41" s="25"/>
      <c r="D41" s="15"/>
      <c r="E41" s="15"/>
      <c r="F41" s="26">
        <f>IFERROR(VLOOKUP(L41,CARTON_LOOKUP!$A:$E,3,0),"")</f>
      </c>
      <c r="G41" s="26">
        <f>IFERROR(VLOOKUP(L41,CARTON_LOOKUP!$A:$E,4,0),"")</f>
      </c>
      <c r="H41" s="26">
        <f>IFERROR(VLOOKUP(L41,CARTON_LOOKUP!$A:$E,5,0),"")</f>
      </c>
      <c r="I41" s="27">
        <f>IFERROR(VLOOKUP(L41,CARTON_LOOKUP!$A:$E,2,0),"")</f>
      </c>
      <c r="J41" s="15" t="s">
        <v>54</v>
      </c>
      <c r="K41" s="28">
        <v>0.21</v>
      </c>
      <c r="L41" s="15" t="s">
        <v>34</v>
      </c>
      <c r="M41" s="15" t="s">
        <v>101</v>
      </c>
      <c r="N41" s="15" t="s">
        <v>102</v>
      </c>
      <c r="O41" s="15" t="s">
        <v>103</v>
      </c>
      <c r="P41" s="15" t="s">
        <v>104</v>
      </c>
      <c r="Q41" s="15"/>
    </row>
    <row r="42" spans="1:17" x14ac:dyDescent="0.25">
      <c r="A42" s="14"/>
      <c r="B42" s="25"/>
      <c r="C42" s="25"/>
      <c r="D42" s="15"/>
      <c r="E42" s="15"/>
      <c r="F42" s="26">
        <f>IFERROR(VLOOKUP(L42,CARTON_LOOKUP!$A:$E,3,0),"")</f>
      </c>
      <c r="G42" s="26">
        <f>IFERROR(VLOOKUP(L42,CARTON_LOOKUP!$A:$E,4,0),"")</f>
      </c>
      <c r="H42" s="26">
        <f>IFERROR(VLOOKUP(L42,CARTON_LOOKUP!$A:$E,5,0),"")</f>
      </c>
      <c r="I42" s="27">
        <f>IFERROR(VLOOKUP(L42,CARTON_LOOKUP!$A:$E,2,0),"")</f>
      </c>
      <c r="J42" s="15" t="s">
        <v>54</v>
      </c>
      <c r="K42" s="28">
        <v>0.21</v>
      </c>
      <c r="L42" s="15" t="s">
        <v>34</v>
      </c>
      <c r="M42" s="15" t="s">
        <v>101</v>
      </c>
      <c r="N42" s="15" t="s">
        <v>102</v>
      </c>
      <c r="O42" s="15" t="s">
        <v>103</v>
      </c>
      <c r="P42" s="15" t="s">
        <v>104</v>
      </c>
      <c r="Q42" s="15"/>
    </row>
    <row r="43" spans="1:17" x14ac:dyDescent="0.25">
      <c r="A43" s="14"/>
      <c r="B43" s="25"/>
      <c r="C43" s="25"/>
      <c r="D43" s="15"/>
      <c r="E43" s="15"/>
      <c r="F43" s="26">
        <f>IFERROR(VLOOKUP(L43,CARTON_LOOKUP!$A:$E,3,0),"")</f>
      </c>
      <c r="G43" s="26">
        <f>IFERROR(VLOOKUP(L43,CARTON_LOOKUP!$A:$E,4,0),"")</f>
      </c>
      <c r="H43" s="26">
        <f>IFERROR(VLOOKUP(L43,CARTON_LOOKUP!$A:$E,5,0),"")</f>
      </c>
      <c r="I43" s="27">
        <f>IFERROR(VLOOKUP(L43,CARTON_LOOKUP!$A:$E,2,0),"")</f>
      </c>
      <c r="J43" s="15" t="s">
        <v>54</v>
      </c>
      <c r="K43" s="28">
        <v>0.21</v>
      </c>
      <c r="L43" s="15" t="s">
        <v>34</v>
      </c>
      <c r="M43" s="15" t="s">
        <v>101</v>
      </c>
      <c r="N43" s="15" t="s">
        <v>102</v>
      </c>
      <c r="O43" s="15" t="s">
        <v>103</v>
      </c>
      <c r="P43" s="15" t="s">
        <v>104</v>
      </c>
      <c r="Q43" s="15"/>
    </row>
    <row r="44" spans="1:17" x14ac:dyDescent="0.25">
      <c r="A44" s="14"/>
      <c r="B44" s="25"/>
      <c r="C44" s="25"/>
      <c r="D44" s="15"/>
      <c r="E44" s="15"/>
      <c r="F44" s="26">
        <f>IFERROR(VLOOKUP(L44,CARTON_LOOKUP!$A:$E,3,0),"")</f>
      </c>
      <c r="G44" s="26">
        <f>IFERROR(VLOOKUP(L44,CARTON_LOOKUP!$A:$E,4,0),"")</f>
      </c>
      <c r="H44" s="26">
        <f>IFERROR(VLOOKUP(L44,CARTON_LOOKUP!$A:$E,5,0),"")</f>
      </c>
      <c r="I44" s="27">
        <f>IFERROR(VLOOKUP(L44,CARTON_LOOKUP!$A:$E,2,0),"")</f>
      </c>
      <c r="J44" s="15" t="s">
        <v>54</v>
      </c>
      <c r="K44" s="28">
        <v>0.21</v>
      </c>
      <c r="L44" s="15" t="s">
        <v>34</v>
      </c>
      <c r="M44" s="15" t="s">
        <v>101</v>
      </c>
      <c r="N44" s="15" t="s">
        <v>102</v>
      </c>
      <c r="O44" s="15" t="s">
        <v>103</v>
      </c>
      <c r="P44" s="15" t="s">
        <v>104</v>
      </c>
      <c r="Q44" s="15"/>
    </row>
    <row r="45" spans="1:17" x14ac:dyDescent="0.25">
      <c r="A45" s="14"/>
      <c r="B45" s="25"/>
      <c r="C45" s="25"/>
      <c r="D45" s="15"/>
      <c r="E45" s="15"/>
      <c r="F45" s="26">
        <f>IFERROR(VLOOKUP(L45,CARTON_LOOKUP!$A:$E,3,0),"")</f>
      </c>
      <c r="G45" s="26">
        <f>IFERROR(VLOOKUP(L45,CARTON_LOOKUP!$A:$E,4,0),"")</f>
      </c>
      <c r="H45" s="26">
        <f>IFERROR(VLOOKUP(L45,CARTON_LOOKUP!$A:$E,5,0),"")</f>
      </c>
      <c r="I45" s="27">
        <f>IFERROR(VLOOKUP(L45,CARTON_LOOKUP!$A:$E,2,0),"")</f>
      </c>
      <c r="J45" s="15" t="s">
        <v>54</v>
      </c>
      <c r="K45" s="28">
        <v>0.21</v>
      </c>
      <c r="L45" s="15" t="s">
        <v>34</v>
      </c>
      <c r="M45" s="15" t="s">
        <v>101</v>
      </c>
      <c r="N45" s="15" t="s">
        <v>102</v>
      </c>
      <c r="O45" s="15" t="s">
        <v>103</v>
      </c>
      <c r="P45" s="15" t="s">
        <v>104</v>
      </c>
      <c r="Q45" s="15"/>
    </row>
    <row r="46" spans="1:17" x14ac:dyDescent="0.25">
      <c r="A46" s="14"/>
      <c r="B46" s="25"/>
      <c r="C46" s="25"/>
      <c r="D46" s="15"/>
      <c r="E46" s="15"/>
      <c r="F46" s="26">
        <f>IFERROR(VLOOKUP(L46,CARTON_LOOKUP!$A:$E,3,0),"")</f>
      </c>
      <c r="G46" s="26">
        <f>IFERROR(VLOOKUP(L46,CARTON_LOOKUP!$A:$E,4,0),"")</f>
      </c>
      <c r="H46" s="26">
        <f>IFERROR(VLOOKUP(L46,CARTON_LOOKUP!$A:$E,5,0),"")</f>
      </c>
      <c r="I46" s="27">
        <f>IFERROR(VLOOKUP(L46,CARTON_LOOKUP!$A:$E,2,0),"")</f>
      </c>
      <c r="J46" s="15" t="s">
        <v>54</v>
      </c>
      <c r="K46" s="28">
        <v>0.21</v>
      </c>
      <c r="L46" s="15" t="s">
        <v>34</v>
      </c>
      <c r="M46" s="15" t="s">
        <v>101</v>
      </c>
      <c r="N46" s="15" t="s">
        <v>102</v>
      </c>
      <c r="O46" s="15" t="s">
        <v>103</v>
      </c>
      <c r="P46" s="15" t="s">
        <v>104</v>
      </c>
      <c r="Q46" s="15"/>
    </row>
    <row r="47" spans="1:17" x14ac:dyDescent="0.25">
      <c r="A47" s="14"/>
      <c r="B47" s="25"/>
      <c r="C47" s="25"/>
      <c r="D47" s="15"/>
      <c r="E47" s="15"/>
      <c r="F47" s="26">
        <f>IFERROR(VLOOKUP(L47,CARTON_LOOKUP!$A:$E,3,0),"")</f>
      </c>
      <c r="G47" s="26">
        <f>IFERROR(VLOOKUP(L47,CARTON_LOOKUP!$A:$E,4,0),"")</f>
      </c>
      <c r="H47" s="26">
        <f>IFERROR(VLOOKUP(L47,CARTON_LOOKUP!$A:$E,5,0),"")</f>
      </c>
      <c r="I47" s="27">
        <f>IFERROR(VLOOKUP(L47,CARTON_LOOKUP!$A:$E,2,0),"")</f>
      </c>
      <c r="J47" s="15" t="s">
        <v>54</v>
      </c>
      <c r="K47" s="28">
        <v>0.21</v>
      </c>
      <c r="L47" s="15" t="s">
        <v>34</v>
      </c>
      <c r="M47" s="15" t="s">
        <v>101</v>
      </c>
      <c r="N47" s="15" t="s">
        <v>102</v>
      </c>
      <c r="O47" s="15" t="s">
        <v>103</v>
      </c>
      <c r="P47" s="15" t="s">
        <v>104</v>
      </c>
      <c r="Q47" s="15"/>
    </row>
    <row r="48" spans="1:17" x14ac:dyDescent="0.25">
      <c r="A48" s="14"/>
      <c r="B48" s="25"/>
      <c r="C48" s="25"/>
      <c r="D48" s="15"/>
      <c r="E48" s="15"/>
      <c r="F48" s="26">
        <f>IFERROR(VLOOKUP(L48,CARTON_LOOKUP!$A:$E,3,0),"")</f>
      </c>
      <c r="G48" s="26">
        <f>IFERROR(VLOOKUP(L48,CARTON_LOOKUP!$A:$E,4,0),"")</f>
      </c>
      <c r="H48" s="26">
        <f>IFERROR(VLOOKUP(L48,CARTON_LOOKUP!$A:$E,5,0),"")</f>
      </c>
      <c r="I48" s="27">
        <f>IFERROR(VLOOKUP(L48,CARTON_LOOKUP!$A:$E,2,0),"")</f>
      </c>
      <c r="J48" s="15" t="s">
        <v>54</v>
      </c>
      <c r="K48" s="28">
        <v>0.21</v>
      </c>
      <c r="L48" s="15" t="s">
        <v>34</v>
      </c>
      <c r="M48" s="15" t="s">
        <v>101</v>
      </c>
      <c r="N48" s="15" t="s">
        <v>102</v>
      </c>
      <c r="O48" s="15" t="s">
        <v>103</v>
      </c>
      <c r="P48" s="15" t="s">
        <v>104</v>
      </c>
      <c r="Q48" s="15"/>
    </row>
    <row r="49" spans="1:17" x14ac:dyDescent="0.25">
      <c r="A49" s="14"/>
      <c r="B49" s="25"/>
      <c r="C49" s="25"/>
      <c r="D49" s="15"/>
      <c r="E49" s="15"/>
      <c r="F49" s="26">
        <f>IFERROR(VLOOKUP(L49,CARTON_LOOKUP!$A:$E,3,0),"")</f>
      </c>
      <c r="G49" s="26">
        <f>IFERROR(VLOOKUP(L49,CARTON_LOOKUP!$A:$E,4,0),"")</f>
      </c>
      <c r="H49" s="26">
        <f>IFERROR(VLOOKUP(L49,CARTON_LOOKUP!$A:$E,5,0),"")</f>
      </c>
      <c r="I49" s="27">
        <f>IFERROR(VLOOKUP(L49,CARTON_LOOKUP!$A:$E,2,0),"")</f>
      </c>
      <c r="J49" s="15" t="s">
        <v>54</v>
      </c>
      <c r="K49" s="28">
        <v>0.21</v>
      </c>
      <c r="L49" s="15" t="s">
        <v>34</v>
      </c>
      <c r="M49" s="15" t="s">
        <v>101</v>
      </c>
      <c r="N49" s="15" t="s">
        <v>102</v>
      </c>
      <c r="O49" s="15" t="s">
        <v>103</v>
      </c>
      <c r="P49" s="15" t="s">
        <v>104</v>
      </c>
      <c r="Q49" s="15"/>
    </row>
    <row r="50" spans="1:17" x14ac:dyDescent="0.25">
      <c r="A50" s="14"/>
      <c r="B50" s="25"/>
      <c r="C50" s="25"/>
      <c r="D50" s="15"/>
      <c r="E50" s="15"/>
      <c r="F50" s="26">
        <f>IFERROR(VLOOKUP(L50,CARTON_LOOKUP!$A:$E,3,0),"")</f>
      </c>
      <c r="G50" s="26">
        <f>IFERROR(VLOOKUP(L50,CARTON_LOOKUP!$A:$E,4,0),"")</f>
      </c>
      <c r="H50" s="26">
        <f>IFERROR(VLOOKUP(L50,CARTON_LOOKUP!$A:$E,5,0),"")</f>
      </c>
      <c r="I50" s="27">
        <f>IFERROR(VLOOKUP(L50,CARTON_LOOKUP!$A:$E,2,0),"")</f>
      </c>
      <c r="J50" s="15" t="s">
        <v>54</v>
      </c>
      <c r="K50" s="28">
        <v>0.21</v>
      </c>
      <c r="L50" s="15" t="s">
        <v>34</v>
      </c>
      <c r="M50" s="15" t="s">
        <v>101</v>
      </c>
      <c r="N50" s="15" t="s">
        <v>102</v>
      </c>
      <c r="O50" s="15" t="s">
        <v>103</v>
      </c>
      <c r="P50" s="15" t="s">
        <v>104</v>
      </c>
      <c r="Q50" s="15"/>
    </row>
    <row r="51" spans="1:17" x14ac:dyDescent="0.25">
      <c r="A51" s="14"/>
      <c r="B51" s="25"/>
      <c r="C51" s="25"/>
      <c r="D51" s="15"/>
      <c r="E51" s="15"/>
      <c r="F51" s="26">
        <f>IFERROR(VLOOKUP(L51,CARTON_LOOKUP!$A:$E,3,0),"")</f>
      </c>
      <c r="G51" s="26">
        <f>IFERROR(VLOOKUP(L51,CARTON_LOOKUP!$A:$E,4,0),"")</f>
      </c>
      <c r="H51" s="26">
        <f>IFERROR(VLOOKUP(L51,CARTON_LOOKUP!$A:$E,5,0),"")</f>
      </c>
      <c r="I51" s="27">
        <f>IFERROR(VLOOKUP(L51,CARTON_LOOKUP!$A:$E,2,0),"")</f>
      </c>
      <c r="J51" s="15" t="s">
        <v>54</v>
      </c>
      <c r="K51" s="28">
        <v>0.21</v>
      </c>
      <c r="L51" s="15" t="s">
        <v>34</v>
      </c>
      <c r="M51" s="15" t="s">
        <v>101</v>
      </c>
      <c r="N51" s="15" t="s">
        <v>102</v>
      </c>
      <c r="O51" s="15" t="s">
        <v>103</v>
      </c>
      <c r="P51" s="15" t="s">
        <v>104</v>
      </c>
      <c r="Q51" s="15"/>
    </row>
    <row r="52" spans="1:17" x14ac:dyDescent="0.25">
      <c r="A52" s="14"/>
      <c r="B52" s="25"/>
      <c r="C52" s="25"/>
      <c r="D52" s="15"/>
      <c r="E52" s="15"/>
      <c r="F52" s="26">
        <f>IFERROR(VLOOKUP(L52,CARTON_LOOKUP!$A:$E,3,0),"")</f>
      </c>
      <c r="G52" s="26">
        <f>IFERROR(VLOOKUP(L52,CARTON_LOOKUP!$A:$E,4,0),"")</f>
      </c>
      <c r="H52" s="26">
        <f>IFERROR(VLOOKUP(L52,CARTON_LOOKUP!$A:$E,5,0),"")</f>
      </c>
      <c r="I52" s="27">
        <f>IFERROR(VLOOKUP(L52,CARTON_LOOKUP!$A:$E,2,0),"")</f>
      </c>
      <c r="J52" s="15" t="s">
        <v>54</v>
      </c>
      <c r="K52" s="28">
        <v>0.21</v>
      </c>
      <c r="L52" s="15" t="s">
        <v>34</v>
      </c>
      <c r="M52" s="15" t="s">
        <v>101</v>
      </c>
      <c r="N52" s="15" t="s">
        <v>102</v>
      </c>
      <c r="O52" s="15" t="s">
        <v>103</v>
      </c>
      <c r="P52" s="15" t="s">
        <v>104</v>
      </c>
      <c r="Q52" s="15"/>
    </row>
    <row r="53" spans="1:17" x14ac:dyDescent="0.25">
      <c r="A53" s="14"/>
      <c r="B53" s="25"/>
      <c r="C53" s="25"/>
      <c r="D53" s="15"/>
      <c r="E53" s="15"/>
      <c r="F53" s="26">
        <f>IFERROR(VLOOKUP(L53,CARTON_LOOKUP!$A:$E,3,0),"")</f>
      </c>
      <c r="G53" s="26">
        <f>IFERROR(VLOOKUP(L53,CARTON_LOOKUP!$A:$E,4,0),"")</f>
      </c>
      <c r="H53" s="26">
        <f>IFERROR(VLOOKUP(L53,CARTON_LOOKUP!$A:$E,5,0),"")</f>
      </c>
      <c r="I53" s="27">
        <f>IFERROR(VLOOKUP(L53,CARTON_LOOKUP!$A:$E,2,0),"")</f>
      </c>
      <c r="J53" s="15" t="s">
        <v>54</v>
      </c>
      <c r="K53" s="28">
        <v>0.21</v>
      </c>
      <c r="L53" s="15" t="s">
        <v>34</v>
      </c>
      <c r="M53" s="15" t="s">
        <v>101</v>
      </c>
      <c r="N53" s="15" t="s">
        <v>102</v>
      </c>
      <c r="O53" s="15" t="s">
        <v>103</v>
      </c>
      <c r="P53" s="15" t="s">
        <v>104</v>
      </c>
      <c r="Q53" s="15"/>
    </row>
    <row r="54" spans="1:17" x14ac:dyDescent="0.25">
      <c r="A54" s="14"/>
      <c r="B54" s="25"/>
      <c r="C54" s="25"/>
      <c r="D54" s="15"/>
      <c r="E54" s="15"/>
      <c r="F54" s="26">
        <f>IFERROR(VLOOKUP(L54,CARTON_LOOKUP!$A:$E,3,0),"")</f>
      </c>
      <c r="G54" s="26">
        <f>IFERROR(VLOOKUP(L54,CARTON_LOOKUP!$A:$E,4,0),"")</f>
      </c>
      <c r="H54" s="26">
        <f>IFERROR(VLOOKUP(L54,CARTON_LOOKUP!$A:$E,5,0),"")</f>
      </c>
      <c r="I54" s="27">
        <f>IFERROR(VLOOKUP(L54,CARTON_LOOKUP!$A:$E,2,0),"")</f>
      </c>
      <c r="J54" s="15" t="s">
        <v>54</v>
      </c>
      <c r="K54" s="28">
        <v>0.21</v>
      </c>
      <c r="L54" s="15" t="s">
        <v>34</v>
      </c>
      <c r="M54" s="15" t="s">
        <v>101</v>
      </c>
      <c r="N54" s="15" t="s">
        <v>102</v>
      </c>
      <c r="O54" s="15" t="s">
        <v>103</v>
      </c>
      <c r="P54" s="15" t="s">
        <v>104</v>
      </c>
      <c r="Q54" s="15"/>
    </row>
    <row r="55" spans="1:17" x14ac:dyDescent="0.25">
      <c r="A55" s="14"/>
      <c r="B55" s="25"/>
      <c r="C55" s="25"/>
      <c r="D55" s="15"/>
      <c r="E55" s="15"/>
      <c r="F55" s="26">
        <f>IFERROR(VLOOKUP(L55,CARTON_LOOKUP!$A:$E,3,0),"")</f>
      </c>
      <c r="G55" s="26">
        <f>IFERROR(VLOOKUP(L55,CARTON_LOOKUP!$A:$E,4,0),"")</f>
      </c>
      <c r="H55" s="26">
        <f>IFERROR(VLOOKUP(L55,CARTON_LOOKUP!$A:$E,5,0),"")</f>
      </c>
      <c r="I55" s="27">
        <f>IFERROR(VLOOKUP(L55,CARTON_LOOKUP!$A:$E,2,0),"")</f>
      </c>
      <c r="J55" s="15" t="s">
        <v>54</v>
      </c>
      <c r="K55" s="28">
        <v>0.21</v>
      </c>
      <c r="L55" s="15" t="s">
        <v>34</v>
      </c>
      <c r="M55" s="15" t="s">
        <v>101</v>
      </c>
      <c r="N55" s="15" t="s">
        <v>102</v>
      </c>
      <c r="O55" s="15" t="s">
        <v>103</v>
      </c>
      <c r="P55" s="15" t="s">
        <v>104</v>
      </c>
      <c r="Q55" s="15"/>
    </row>
    <row r="56" spans="1:17" x14ac:dyDescent="0.25">
      <c r="A56" s="14"/>
      <c r="B56" s="25"/>
      <c r="C56" s="25"/>
      <c r="D56" s="15"/>
      <c r="E56" s="15"/>
      <c r="F56" s="26">
        <f>IFERROR(VLOOKUP(L56,CARTON_LOOKUP!$A:$E,3,0),"")</f>
      </c>
      <c r="G56" s="26">
        <f>IFERROR(VLOOKUP(L56,CARTON_LOOKUP!$A:$E,4,0),"")</f>
      </c>
      <c r="H56" s="26">
        <f>IFERROR(VLOOKUP(L56,CARTON_LOOKUP!$A:$E,5,0),"")</f>
      </c>
      <c r="I56" s="27">
        <f>IFERROR(VLOOKUP(L56,CARTON_LOOKUP!$A:$E,2,0),"")</f>
      </c>
      <c r="J56" s="15" t="s">
        <v>54</v>
      </c>
      <c r="K56" s="28">
        <v>0.21</v>
      </c>
      <c r="L56" s="15" t="s">
        <v>34</v>
      </c>
      <c r="M56" s="15" t="s">
        <v>101</v>
      </c>
      <c r="N56" s="15" t="s">
        <v>102</v>
      </c>
      <c r="O56" s="15" t="s">
        <v>103</v>
      </c>
      <c r="P56" s="15" t="s">
        <v>104</v>
      </c>
      <c r="Q56" s="15"/>
    </row>
    <row r="57" spans="1:17" x14ac:dyDescent="0.25">
      <c r="A57" s="14"/>
      <c r="B57" s="25"/>
      <c r="C57" s="25"/>
      <c r="D57" s="15"/>
      <c r="E57" s="15"/>
      <c r="F57" s="26">
        <f>IFERROR(VLOOKUP(L57,CARTON_LOOKUP!$A:$E,3,0),"")</f>
      </c>
      <c r="G57" s="26">
        <f>IFERROR(VLOOKUP(L57,CARTON_LOOKUP!$A:$E,4,0),"")</f>
      </c>
      <c r="H57" s="26">
        <f>IFERROR(VLOOKUP(L57,CARTON_LOOKUP!$A:$E,5,0),"")</f>
      </c>
      <c r="I57" s="27">
        <f>IFERROR(VLOOKUP(L57,CARTON_LOOKUP!$A:$E,2,0),"")</f>
      </c>
      <c r="J57" s="15" t="s">
        <v>54</v>
      </c>
      <c r="K57" s="28">
        <v>0.21</v>
      </c>
      <c r="L57" s="15" t="s">
        <v>34</v>
      </c>
      <c r="M57" s="15" t="s">
        <v>101</v>
      </c>
      <c r="N57" s="15" t="s">
        <v>102</v>
      </c>
      <c r="O57" s="15" t="s">
        <v>103</v>
      </c>
      <c r="P57" s="15" t="s">
        <v>104</v>
      </c>
      <c r="Q57" s="15"/>
    </row>
    <row r="58" spans="1:17" x14ac:dyDescent="0.25">
      <c r="A58" s="14"/>
      <c r="B58" s="25"/>
      <c r="C58" s="25"/>
      <c r="D58" s="15"/>
      <c r="E58" s="15"/>
      <c r="F58" s="26">
        <f>IFERROR(VLOOKUP(L58,CARTON_LOOKUP!$A:$E,3,0),"")</f>
      </c>
      <c r="G58" s="26">
        <f>IFERROR(VLOOKUP(L58,CARTON_LOOKUP!$A:$E,4,0),"")</f>
      </c>
      <c r="H58" s="26">
        <f>IFERROR(VLOOKUP(L58,CARTON_LOOKUP!$A:$E,5,0),"")</f>
      </c>
      <c r="I58" s="27">
        <f>IFERROR(VLOOKUP(L58,CARTON_LOOKUP!$A:$E,2,0),"")</f>
      </c>
      <c r="J58" s="15" t="s">
        <v>54</v>
      </c>
      <c r="K58" s="28">
        <v>0.21</v>
      </c>
      <c r="L58" s="15" t="s">
        <v>34</v>
      </c>
      <c r="M58" s="15" t="s">
        <v>101</v>
      </c>
      <c r="N58" s="15" t="s">
        <v>102</v>
      </c>
      <c r="O58" s="15" t="s">
        <v>103</v>
      </c>
      <c r="P58" s="15" t="s">
        <v>104</v>
      </c>
      <c r="Q58" s="15"/>
    </row>
    <row r="59" spans="1:17" x14ac:dyDescent="0.25">
      <c r="A59" s="14"/>
      <c r="B59" s="25"/>
      <c r="C59" s="25"/>
      <c r="D59" s="15"/>
      <c r="E59" s="15"/>
      <c r="F59" s="26">
        <f>IFERROR(VLOOKUP(L59,CARTON_LOOKUP!$A:$E,3,0),"")</f>
      </c>
      <c r="G59" s="26">
        <f>IFERROR(VLOOKUP(L59,CARTON_LOOKUP!$A:$E,4,0),"")</f>
      </c>
      <c r="H59" s="26">
        <f>IFERROR(VLOOKUP(L59,CARTON_LOOKUP!$A:$E,5,0),"")</f>
      </c>
      <c r="I59" s="27">
        <f>IFERROR(VLOOKUP(L59,CARTON_LOOKUP!$A:$E,2,0),"")</f>
      </c>
      <c r="J59" s="15" t="s">
        <v>54</v>
      </c>
      <c r="K59" s="28">
        <v>0.21</v>
      </c>
      <c r="L59" s="15" t="s">
        <v>34</v>
      </c>
      <c r="M59" s="15" t="s">
        <v>101</v>
      </c>
      <c r="N59" s="15" t="s">
        <v>102</v>
      </c>
      <c r="O59" s="15" t="s">
        <v>103</v>
      </c>
      <c r="P59" s="15" t="s">
        <v>104</v>
      </c>
      <c r="Q59" s="15"/>
    </row>
    <row r="60" spans="1:17" x14ac:dyDescent="0.25">
      <c r="A60" s="14"/>
      <c r="B60" s="25"/>
      <c r="C60" s="25"/>
      <c r="D60" s="15"/>
      <c r="E60" s="15"/>
      <c r="F60" s="26">
        <f>IFERROR(VLOOKUP(L60,CARTON_LOOKUP!$A:$E,3,0),"")</f>
      </c>
      <c r="G60" s="26">
        <f>IFERROR(VLOOKUP(L60,CARTON_LOOKUP!$A:$E,4,0),"")</f>
      </c>
      <c r="H60" s="26">
        <f>IFERROR(VLOOKUP(L60,CARTON_LOOKUP!$A:$E,5,0),"")</f>
      </c>
      <c r="I60" s="27">
        <f>IFERROR(VLOOKUP(L60,CARTON_LOOKUP!$A:$E,2,0),"")</f>
      </c>
      <c r="J60" s="15" t="s">
        <v>54</v>
      </c>
      <c r="K60" s="28">
        <v>0.21</v>
      </c>
      <c r="L60" s="15" t="s">
        <v>34</v>
      </c>
      <c r="M60" s="15" t="s">
        <v>101</v>
      </c>
      <c r="N60" s="15" t="s">
        <v>102</v>
      </c>
      <c r="O60" s="15" t="s">
        <v>103</v>
      </c>
      <c r="P60" s="15" t="s">
        <v>104</v>
      </c>
      <c r="Q60" s="15"/>
    </row>
    <row r="61" spans="1:17" x14ac:dyDescent="0.25">
      <c r="A61" s="14"/>
      <c r="B61" s="25"/>
      <c r="C61" s="25"/>
      <c r="D61" s="15"/>
      <c r="E61" s="15"/>
      <c r="F61" s="26">
        <f>IFERROR(VLOOKUP(L61,CARTON_LOOKUP!$A:$E,3,0),"")</f>
      </c>
      <c r="G61" s="26">
        <f>IFERROR(VLOOKUP(L61,CARTON_LOOKUP!$A:$E,4,0),"")</f>
      </c>
      <c r="H61" s="26">
        <f>IFERROR(VLOOKUP(L61,CARTON_LOOKUP!$A:$E,5,0),"")</f>
      </c>
      <c r="I61" s="27">
        <f>IFERROR(VLOOKUP(L61,CARTON_LOOKUP!$A:$E,2,0),"")</f>
      </c>
      <c r="J61" s="15" t="s">
        <v>54</v>
      </c>
      <c r="K61" s="28">
        <v>0.21</v>
      </c>
      <c r="L61" s="15" t="s">
        <v>34</v>
      </c>
      <c r="M61" s="15" t="s">
        <v>101</v>
      </c>
      <c r="N61" s="15" t="s">
        <v>102</v>
      </c>
      <c r="O61" s="15" t="s">
        <v>103</v>
      </c>
      <c r="P61" s="15" t="s">
        <v>104</v>
      </c>
      <c r="Q61" s="15"/>
    </row>
    <row r="62" spans="1:17" x14ac:dyDescent="0.25">
      <c r="A62" s="14"/>
      <c r="B62" s="25"/>
      <c r="C62" s="25"/>
      <c r="D62" s="15"/>
      <c r="E62" s="15"/>
      <c r="F62" s="26">
        <f>IFERROR(VLOOKUP(L62,CARTON_LOOKUP!$A:$E,3,0),"")</f>
      </c>
      <c r="G62" s="26">
        <f>IFERROR(VLOOKUP(L62,CARTON_LOOKUP!$A:$E,4,0),"")</f>
      </c>
      <c r="H62" s="26">
        <f>IFERROR(VLOOKUP(L62,CARTON_LOOKUP!$A:$E,5,0),"")</f>
      </c>
      <c r="I62" s="27">
        <f>IFERROR(VLOOKUP(L62,CARTON_LOOKUP!$A:$E,2,0),"")</f>
      </c>
      <c r="J62" s="15" t="s">
        <v>54</v>
      </c>
      <c r="K62" s="28">
        <v>0.21</v>
      </c>
      <c r="L62" s="15" t="s">
        <v>34</v>
      </c>
      <c r="M62" s="15" t="s">
        <v>101</v>
      </c>
      <c r="N62" s="15" t="s">
        <v>102</v>
      </c>
      <c r="O62" s="15" t="s">
        <v>103</v>
      </c>
      <c r="P62" s="15" t="s">
        <v>104</v>
      </c>
      <c r="Q62" s="15"/>
    </row>
    <row r="63" spans="1:17" x14ac:dyDescent="0.25">
      <c r="A63" s="14"/>
      <c r="B63" s="25"/>
      <c r="C63" s="25"/>
      <c r="D63" s="15"/>
      <c r="E63" s="15"/>
      <c r="F63" s="26">
        <f>IFERROR(VLOOKUP(L63,CARTON_LOOKUP!$A:$E,3,0),"")</f>
      </c>
      <c r="G63" s="26">
        <f>IFERROR(VLOOKUP(L63,CARTON_LOOKUP!$A:$E,4,0),"")</f>
      </c>
      <c r="H63" s="26">
        <f>IFERROR(VLOOKUP(L63,CARTON_LOOKUP!$A:$E,5,0),"")</f>
      </c>
      <c r="I63" s="27">
        <f>IFERROR(VLOOKUP(L63,CARTON_LOOKUP!$A:$E,2,0),"")</f>
      </c>
      <c r="J63" s="15" t="s">
        <v>54</v>
      </c>
      <c r="K63" s="28">
        <v>0.21</v>
      </c>
      <c r="L63" s="15" t="s">
        <v>34</v>
      </c>
      <c r="M63" s="15" t="s">
        <v>101</v>
      </c>
      <c r="N63" s="15" t="s">
        <v>102</v>
      </c>
      <c r="O63" s="15" t="s">
        <v>103</v>
      </c>
      <c r="P63" s="15" t="s">
        <v>104</v>
      </c>
      <c r="Q63" s="15"/>
    </row>
    <row r="64" spans="1:17" x14ac:dyDescent="0.25">
      <c r="A64" s="14"/>
      <c r="B64" s="25"/>
      <c r="C64" s="25"/>
      <c r="D64" s="15"/>
      <c r="E64" s="15"/>
      <c r="F64" s="26">
        <f>IFERROR(VLOOKUP(L64,CARTON_LOOKUP!$A:$E,3,0),"")</f>
      </c>
      <c r="G64" s="26">
        <f>IFERROR(VLOOKUP(L64,CARTON_LOOKUP!$A:$E,4,0),"")</f>
      </c>
      <c r="H64" s="26">
        <f>IFERROR(VLOOKUP(L64,CARTON_LOOKUP!$A:$E,5,0),"")</f>
      </c>
      <c r="I64" s="27">
        <f>IFERROR(VLOOKUP(L64,CARTON_LOOKUP!$A:$E,2,0),"")</f>
      </c>
      <c r="J64" s="15" t="s">
        <v>54</v>
      </c>
      <c r="K64" s="28">
        <v>0.21</v>
      </c>
      <c r="L64" s="15" t="s">
        <v>34</v>
      </c>
      <c r="M64" s="15" t="s">
        <v>101</v>
      </c>
      <c r="N64" s="15" t="s">
        <v>102</v>
      </c>
      <c r="O64" s="15" t="s">
        <v>103</v>
      </c>
      <c r="P64" s="15" t="s">
        <v>104</v>
      </c>
      <c r="Q64" s="15"/>
    </row>
    <row r="65" spans="1:17" x14ac:dyDescent="0.25">
      <c r="A65" s="14"/>
      <c r="B65" s="25"/>
      <c r="C65" s="25"/>
      <c r="D65" s="15"/>
      <c r="E65" s="15"/>
      <c r="F65" s="26">
        <f>IFERROR(VLOOKUP(L65,CARTON_LOOKUP!$A:$E,3,0),"")</f>
      </c>
      <c r="G65" s="26">
        <f>IFERROR(VLOOKUP(L65,CARTON_LOOKUP!$A:$E,4,0),"")</f>
      </c>
      <c r="H65" s="26">
        <f>IFERROR(VLOOKUP(L65,CARTON_LOOKUP!$A:$E,5,0),"")</f>
      </c>
      <c r="I65" s="27">
        <f>IFERROR(VLOOKUP(L65,CARTON_LOOKUP!$A:$E,2,0),"")</f>
      </c>
      <c r="J65" s="15" t="s">
        <v>54</v>
      </c>
      <c r="K65" s="28">
        <v>0.21</v>
      </c>
      <c r="L65" s="15" t="s">
        <v>34</v>
      </c>
      <c r="M65" s="15" t="s">
        <v>101</v>
      </c>
      <c r="N65" s="15" t="s">
        <v>102</v>
      </c>
      <c r="O65" s="15" t="s">
        <v>103</v>
      </c>
      <c r="P65" s="15" t="s">
        <v>104</v>
      </c>
      <c r="Q65" s="15"/>
    </row>
    <row r="66" spans="1:17" x14ac:dyDescent="0.25">
      <c r="A66" s="14"/>
      <c r="B66" s="25"/>
      <c r="C66" s="25"/>
      <c r="D66" s="15"/>
      <c r="E66" s="15"/>
      <c r="F66" s="26">
        <f>IFERROR(VLOOKUP(L66,CARTON_LOOKUP!$A:$E,3,0),"")</f>
      </c>
      <c r="G66" s="26">
        <f>IFERROR(VLOOKUP(L66,CARTON_LOOKUP!$A:$E,4,0),"")</f>
      </c>
      <c r="H66" s="26">
        <f>IFERROR(VLOOKUP(L66,CARTON_LOOKUP!$A:$E,5,0),"")</f>
      </c>
      <c r="I66" s="27">
        <f>IFERROR(VLOOKUP(L66,CARTON_LOOKUP!$A:$E,2,0),"")</f>
      </c>
      <c r="J66" s="15" t="s">
        <v>54</v>
      </c>
      <c r="K66" s="28">
        <v>0.21</v>
      </c>
      <c r="L66" s="15" t="s">
        <v>34</v>
      </c>
      <c r="M66" s="15" t="s">
        <v>101</v>
      </c>
      <c r="N66" s="15" t="s">
        <v>102</v>
      </c>
      <c r="O66" s="15" t="s">
        <v>103</v>
      </c>
      <c r="P66" s="15" t="s">
        <v>104</v>
      </c>
      <c r="Q66" s="15"/>
    </row>
    <row r="67" spans="1:17" x14ac:dyDescent="0.25">
      <c r="A67" s="14"/>
      <c r="B67" s="25"/>
      <c r="C67" s="25"/>
      <c r="D67" s="15"/>
      <c r="E67" s="15"/>
      <c r="F67" s="26">
        <f>IFERROR(VLOOKUP(L67,CARTON_LOOKUP!$A:$E,3,0),"")</f>
      </c>
      <c r="G67" s="26">
        <f>IFERROR(VLOOKUP(L67,CARTON_LOOKUP!$A:$E,4,0),"")</f>
      </c>
      <c r="H67" s="26">
        <f>IFERROR(VLOOKUP(L67,CARTON_LOOKUP!$A:$E,5,0),"")</f>
      </c>
      <c r="I67" s="27">
        <f>IFERROR(VLOOKUP(L67,CARTON_LOOKUP!$A:$E,2,0),"")</f>
      </c>
      <c r="J67" s="15" t="s">
        <v>54</v>
      </c>
      <c r="K67" s="28">
        <v>0.21</v>
      </c>
      <c r="L67" s="15" t="s">
        <v>34</v>
      </c>
      <c r="M67" s="15" t="s">
        <v>101</v>
      </c>
      <c r="N67" s="15" t="s">
        <v>102</v>
      </c>
      <c r="O67" s="15" t="s">
        <v>103</v>
      </c>
      <c r="P67" s="15" t="s">
        <v>104</v>
      </c>
      <c r="Q67" s="15"/>
    </row>
    <row r="68" spans="1:17" x14ac:dyDescent="0.25">
      <c r="A68" s="14"/>
      <c r="B68" s="25"/>
      <c r="C68" s="25"/>
      <c r="D68" s="15"/>
      <c r="E68" s="15"/>
      <c r="F68" s="26">
        <f>IFERROR(VLOOKUP(L68,CARTON_LOOKUP!$A:$E,3,0),"")</f>
      </c>
      <c r="G68" s="26">
        <f>IFERROR(VLOOKUP(L68,CARTON_LOOKUP!$A:$E,4,0),"")</f>
      </c>
      <c r="H68" s="26">
        <f>IFERROR(VLOOKUP(L68,CARTON_LOOKUP!$A:$E,5,0),"")</f>
      </c>
      <c r="I68" s="27">
        <f>IFERROR(VLOOKUP(L68,CARTON_LOOKUP!$A:$E,2,0),"")</f>
      </c>
      <c r="J68" s="15" t="s">
        <v>54</v>
      </c>
      <c r="K68" s="28">
        <v>0.21</v>
      </c>
      <c r="L68" s="15" t="s">
        <v>34</v>
      </c>
      <c r="M68" s="15" t="s">
        <v>101</v>
      </c>
      <c r="N68" s="15" t="s">
        <v>102</v>
      </c>
      <c r="O68" s="15" t="s">
        <v>103</v>
      </c>
      <c r="P68" s="15" t="s">
        <v>104</v>
      </c>
      <c r="Q68" s="15"/>
    </row>
    <row r="69" spans="1:17" x14ac:dyDescent="0.25">
      <c r="A69" s="14"/>
      <c r="B69" s="25"/>
      <c r="C69" s="25"/>
      <c r="D69" s="15"/>
      <c r="E69" s="15"/>
      <c r="F69" s="26">
        <f>IFERROR(VLOOKUP(L69,CARTON_LOOKUP!$A:$E,3,0),"")</f>
      </c>
      <c r="G69" s="26">
        <f>IFERROR(VLOOKUP(L69,CARTON_LOOKUP!$A:$E,4,0),"")</f>
      </c>
      <c r="H69" s="26">
        <f>IFERROR(VLOOKUP(L69,CARTON_LOOKUP!$A:$E,5,0),"")</f>
      </c>
      <c r="I69" s="27">
        <f>IFERROR(VLOOKUP(L69,CARTON_LOOKUP!$A:$E,2,0),"")</f>
      </c>
      <c r="J69" s="15" t="s">
        <v>54</v>
      </c>
      <c r="K69" s="28">
        <v>0.21</v>
      </c>
      <c r="L69" s="15" t="s">
        <v>34</v>
      </c>
      <c r="M69" s="15" t="s">
        <v>101</v>
      </c>
      <c r="N69" s="15" t="s">
        <v>102</v>
      </c>
      <c r="O69" s="15" t="s">
        <v>103</v>
      </c>
      <c r="P69" s="15" t="s">
        <v>104</v>
      </c>
      <c r="Q69" s="15"/>
    </row>
    <row r="70" spans="1:17" x14ac:dyDescent="0.25">
      <c r="A70" s="14"/>
      <c r="B70" s="25"/>
      <c r="C70" s="25"/>
      <c r="D70" s="15"/>
      <c r="E70" s="15"/>
      <c r="F70" s="26">
        <f>IFERROR(VLOOKUP(L70,CARTON_LOOKUP!$A:$E,3,0),"")</f>
      </c>
      <c r="G70" s="26">
        <f>IFERROR(VLOOKUP(L70,CARTON_LOOKUP!$A:$E,4,0),"")</f>
      </c>
      <c r="H70" s="26">
        <f>IFERROR(VLOOKUP(L70,CARTON_LOOKUP!$A:$E,5,0),"")</f>
      </c>
      <c r="I70" s="27">
        <f>IFERROR(VLOOKUP(L70,CARTON_LOOKUP!$A:$E,2,0),"")</f>
      </c>
      <c r="J70" s="15" t="s">
        <v>54</v>
      </c>
      <c r="K70" s="28">
        <v>0.21</v>
      </c>
      <c r="L70" s="15" t="s">
        <v>34</v>
      </c>
      <c r="M70" s="15" t="s">
        <v>101</v>
      </c>
      <c r="N70" s="15" t="s">
        <v>102</v>
      </c>
      <c r="O70" s="15" t="s">
        <v>103</v>
      </c>
      <c r="P70" s="15" t="s">
        <v>104</v>
      </c>
      <c r="Q70" s="15"/>
    </row>
    <row r="71" spans="1:17" x14ac:dyDescent="0.25">
      <c r="A71" s="14"/>
      <c r="B71" s="25"/>
      <c r="C71" s="25"/>
      <c r="D71" s="15"/>
      <c r="E71" s="15"/>
      <c r="F71" s="26">
        <f>IFERROR(VLOOKUP(L71,CARTON_LOOKUP!$A:$E,3,0),"")</f>
      </c>
      <c r="G71" s="26">
        <f>IFERROR(VLOOKUP(L71,CARTON_LOOKUP!$A:$E,4,0),"")</f>
      </c>
      <c r="H71" s="26">
        <f>IFERROR(VLOOKUP(L71,CARTON_LOOKUP!$A:$E,5,0),"")</f>
      </c>
      <c r="I71" s="27">
        <f>IFERROR(VLOOKUP(L71,CARTON_LOOKUP!$A:$E,2,0),"")</f>
      </c>
      <c r="J71" s="15" t="s">
        <v>54</v>
      </c>
      <c r="K71" s="28">
        <v>0.21</v>
      </c>
      <c r="L71" s="15" t="s">
        <v>34</v>
      </c>
      <c r="M71" s="15" t="s">
        <v>101</v>
      </c>
      <c r="N71" s="15" t="s">
        <v>102</v>
      </c>
      <c r="O71" s="15" t="s">
        <v>103</v>
      </c>
      <c r="P71" s="15" t="s">
        <v>104</v>
      </c>
      <c r="Q71" s="15"/>
    </row>
    <row r="72" spans="1:17" x14ac:dyDescent="0.25">
      <c r="A72" s="14"/>
      <c r="B72" s="25"/>
      <c r="C72" s="25"/>
      <c r="D72" s="15"/>
      <c r="E72" s="15"/>
      <c r="F72" s="26">
        <f>IFERROR(VLOOKUP(L72,CARTON_LOOKUP!$A:$E,3,0),"")</f>
      </c>
      <c r="G72" s="26">
        <f>IFERROR(VLOOKUP(L72,CARTON_LOOKUP!$A:$E,4,0),"")</f>
      </c>
      <c r="H72" s="26">
        <f>IFERROR(VLOOKUP(L72,CARTON_LOOKUP!$A:$E,5,0),"")</f>
      </c>
      <c r="I72" s="27">
        <f>IFERROR(VLOOKUP(L72,CARTON_LOOKUP!$A:$E,2,0),"")</f>
      </c>
      <c r="J72" s="15" t="s">
        <v>54</v>
      </c>
      <c r="K72" s="28">
        <v>0.21</v>
      </c>
      <c r="L72" s="15" t="s">
        <v>34</v>
      </c>
      <c r="M72" s="15" t="s">
        <v>101</v>
      </c>
      <c r="N72" s="15" t="s">
        <v>102</v>
      </c>
      <c r="O72" s="15" t="s">
        <v>103</v>
      </c>
      <c r="P72" s="15" t="s">
        <v>104</v>
      </c>
      <c r="Q72" s="15"/>
    </row>
    <row r="73" spans="1:17" x14ac:dyDescent="0.25">
      <c r="A73" s="14"/>
      <c r="B73" s="25"/>
      <c r="C73" s="25"/>
      <c r="D73" s="15"/>
      <c r="E73" s="15"/>
      <c r="F73" s="26">
        <f>IFERROR(VLOOKUP(L73,CARTON_LOOKUP!$A:$E,3,0),"")</f>
      </c>
      <c r="G73" s="26">
        <f>IFERROR(VLOOKUP(L73,CARTON_LOOKUP!$A:$E,4,0),"")</f>
      </c>
      <c r="H73" s="26">
        <f>IFERROR(VLOOKUP(L73,CARTON_LOOKUP!$A:$E,5,0),"")</f>
      </c>
      <c r="I73" s="27">
        <f>IFERROR(VLOOKUP(L73,CARTON_LOOKUP!$A:$E,2,0),"")</f>
      </c>
      <c r="J73" s="15" t="s">
        <v>54</v>
      </c>
      <c r="K73" s="28">
        <v>0.21</v>
      </c>
      <c r="L73" s="15" t="s">
        <v>34</v>
      </c>
      <c r="M73" s="15" t="s">
        <v>101</v>
      </c>
      <c r="N73" s="15" t="s">
        <v>102</v>
      </c>
      <c r="O73" s="15" t="s">
        <v>103</v>
      </c>
      <c r="P73" s="15" t="s">
        <v>104</v>
      </c>
      <c r="Q73" s="15"/>
    </row>
    <row r="74" spans="1:17" x14ac:dyDescent="0.25">
      <c r="A74" s="14"/>
      <c r="B74" s="25"/>
      <c r="C74" s="25"/>
      <c r="D74" s="15"/>
      <c r="E74" s="15"/>
      <c r="F74" s="26">
        <f>IFERROR(VLOOKUP(L74,CARTON_LOOKUP!$A:$E,3,0),"")</f>
      </c>
      <c r="G74" s="26">
        <f>IFERROR(VLOOKUP(L74,CARTON_LOOKUP!$A:$E,4,0),"")</f>
      </c>
      <c r="H74" s="26">
        <f>IFERROR(VLOOKUP(L74,CARTON_LOOKUP!$A:$E,5,0),"")</f>
      </c>
      <c r="I74" s="27">
        <f>IFERROR(VLOOKUP(L74,CARTON_LOOKUP!$A:$E,2,0),"")</f>
      </c>
      <c r="J74" s="15" t="s">
        <v>54</v>
      </c>
      <c r="K74" s="28">
        <v>0.21</v>
      </c>
      <c r="L74" s="15" t="s">
        <v>34</v>
      </c>
      <c r="M74" s="15" t="s">
        <v>101</v>
      </c>
      <c r="N74" s="15" t="s">
        <v>102</v>
      </c>
      <c r="O74" s="15" t="s">
        <v>103</v>
      </c>
      <c r="P74" s="15" t="s">
        <v>104</v>
      </c>
      <c r="Q74" s="15"/>
    </row>
    <row r="75" spans="1:17" x14ac:dyDescent="0.25">
      <c r="A75" s="14"/>
      <c r="B75" s="25"/>
      <c r="C75" s="25"/>
      <c r="D75" s="15"/>
      <c r="E75" s="15"/>
      <c r="F75" s="26">
        <f>IFERROR(VLOOKUP(L75,CARTON_LOOKUP!$A:$E,3,0),"")</f>
      </c>
      <c r="G75" s="26">
        <f>IFERROR(VLOOKUP(L75,CARTON_LOOKUP!$A:$E,4,0),"")</f>
      </c>
      <c r="H75" s="26">
        <f>IFERROR(VLOOKUP(L75,CARTON_LOOKUP!$A:$E,5,0),"")</f>
      </c>
      <c r="I75" s="27">
        <f>IFERROR(VLOOKUP(L75,CARTON_LOOKUP!$A:$E,2,0),"")</f>
      </c>
      <c r="J75" s="15" t="s">
        <v>54</v>
      </c>
      <c r="K75" s="28">
        <v>0.21</v>
      </c>
      <c r="L75" s="15" t="s">
        <v>34</v>
      </c>
      <c r="M75" s="15" t="s">
        <v>101</v>
      </c>
      <c r="N75" s="15" t="s">
        <v>102</v>
      </c>
      <c r="O75" s="15" t="s">
        <v>103</v>
      </c>
      <c r="P75" s="15" t="s">
        <v>104</v>
      </c>
      <c r="Q75" s="15"/>
    </row>
    <row r="76" spans="1:17" x14ac:dyDescent="0.25">
      <c r="A76" s="14"/>
      <c r="B76" s="25"/>
      <c r="C76" s="25"/>
      <c r="D76" s="15"/>
      <c r="E76" s="15"/>
      <c r="F76" s="26">
        <f>IFERROR(VLOOKUP(L76,CARTON_LOOKUP!$A:$E,3,0),"")</f>
      </c>
      <c r="G76" s="26">
        <f>IFERROR(VLOOKUP(L76,CARTON_LOOKUP!$A:$E,4,0),"")</f>
      </c>
      <c r="H76" s="26">
        <f>IFERROR(VLOOKUP(L76,CARTON_LOOKUP!$A:$E,5,0),"")</f>
      </c>
      <c r="I76" s="27">
        <f>IFERROR(VLOOKUP(L76,CARTON_LOOKUP!$A:$E,2,0),"")</f>
      </c>
      <c r="J76" s="15" t="s">
        <v>54</v>
      </c>
      <c r="K76" s="28">
        <v>0.21</v>
      </c>
      <c r="L76" s="15" t="s">
        <v>34</v>
      </c>
      <c r="M76" s="15" t="s">
        <v>101</v>
      </c>
      <c r="N76" s="15" t="s">
        <v>102</v>
      </c>
      <c r="O76" s="15" t="s">
        <v>103</v>
      </c>
      <c r="P76" s="15" t="s">
        <v>104</v>
      </c>
      <c r="Q76" s="15"/>
    </row>
    <row r="77" spans="1:17" x14ac:dyDescent="0.25">
      <c r="A77" s="14"/>
      <c r="B77" s="25"/>
      <c r="C77" s="25"/>
      <c r="D77" s="15"/>
      <c r="E77" s="15"/>
      <c r="F77" s="26">
        <f>IFERROR(VLOOKUP(L77,CARTON_LOOKUP!$A:$E,3,0),"")</f>
      </c>
      <c r="G77" s="26">
        <f>IFERROR(VLOOKUP(L77,CARTON_LOOKUP!$A:$E,4,0),"")</f>
      </c>
      <c r="H77" s="26">
        <f>IFERROR(VLOOKUP(L77,CARTON_LOOKUP!$A:$E,5,0),"")</f>
      </c>
      <c r="I77" s="27">
        <f>IFERROR(VLOOKUP(L77,CARTON_LOOKUP!$A:$E,2,0),"")</f>
      </c>
      <c r="J77" s="15" t="s">
        <v>54</v>
      </c>
      <c r="K77" s="28">
        <v>0.21</v>
      </c>
      <c r="L77" s="15" t="s">
        <v>34</v>
      </c>
      <c r="M77" s="15" t="s">
        <v>101</v>
      </c>
      <c r="N77" s="15" t="s">
        <v>102</v>
      </c>
      <c r="O77" s="15" t="s">
        <v>103</v>
      </c>
      <c r="P77" s="15" t="s">
        <v>104</v>
      </c>
      <c r="Q77" s="15"/>
    </row>
    <row r="78" spans="1:17" x14ac:dyDescent="0.25">
      <c r="A78" s="14"/>
      <c r="B78" s="25"/>
      <c r="C78" s="25"/>
      <c r="D78" s="15"/>
      <c r="E78" s="15"/>
      <c r="F78" s="26">
        <f>IFERROR(VLOOKUP(L78,CARTON_LOOKUP!$A:$E,3,0),"")</f>
      </c>
      <c r="G78" s="26">
        <f>IFERROR(VLOOKUP(L78,CARTON_LOOKUP!$A:$E,4,0),"")</f>
      </c>
      <c r="H78" s="26">
        <f>IFERROR(VLOOKUP(L78,CARTON_LOOKUP!$A:$E,5,0),"")</f>
      </c>
      <c r="I78" s="27">
        <f>IFERROR(VLOOKUP(L78,CARTON_LOOKUP!$A:$E,2,0),"")</f>
      </c>
      <c r="J78" s="15" t="s">
        <v>54</v>
      </c>
      <c r="K78" s="28">
        <v>0.21</v>
      </c>
      <c r="L78" s="15" t="s">
        <v>34</v>
      </c>
      <c r="M78" s="15" t="s">
        <v>101</v>
      </c>
      <c r="N78" s="15" t="s">
        <v>102</v>
      </c>
      <c r="O78" s="15" t="s">
        <v>103</v>
      </c>
      <c r="P78" s="15" t="s">
        <v>104</v>
      </c>
      <c r="Q78" s="15"/>
    </row>
    <row r="79" spans="1:17" x14ac:dyDescent="0.25">
      <c r="A79" s="14"/>
      <c r="B79" s="25"/>
      <c r="C79" s="25"/>
      <c r="D79" s="15"/>
      <c r="E79" s="15"/>
      <c r="F79" s="26">
        <f>IFERROR(VLOOKUP(L79,CARTON_LOOKUP!$A:$E,3,0),"")</f>
      </c>
      <c r="G79" s="26">
        <f>IFERROR(VLOOKUP(L79,CARTON_LOOKUP!$A:$E,4,0),"")</f>
      </c>
      <c r="H79" s="26">
        <f>IFERROR(VLOOKUP(L79,CARTON_LOOKUP!$A:$E,5,0),"")</f>
      </c>
      <c r="I79" s="27">
        <f>IFERROR(VLOOKUP(L79,CARTON_LOOKUP!$A:$E,2,0),"")</f>
      </c>
      <c r="J79" s="15" t="s">
        <v>54</v>
      </c>
      <c r="K79" s="28">
        <v>0.21</v>
      </c>
      <c r="L79" s="15" t="s">
        <v>34</v>
      </c>
      <c r="M79" s="15" t="s">
        <v>101</v>
      </c>
      <c r="N79" s="15" t="s">
        <v>102</v>
      </c>
      <c r="O79" s="15" t="s">
        <v>103</v>
      </c>
      <c r="P79" s="15" t="s">
        <v>104</v>
      </c>
      <c r="Q79" s="15"/>
    </row>
    <row r="80" spans="1:17" x14ac:dyDescent="0.25">
      <c r="A80" s="14"/>
      <c r="B80" s="25"/>
      <c r="C80" s="25"/>
      <c r="D80" s="15"/>
      <c r="E80" s="15"/>
      <c r="F80" s="26">
        <f>IFERROR(VLOOKUP(L80,CARTON_LOOKUP!$A:$E,3,0),"")</f>
      </c>
      <c r="G80" s="26">
        <f>IFERROR(VLOOKUP(L80,CARTON_LOOKUP!$A:$E,4,0),"")</f>
      </c>
      <c r="H80" s="26">
        <f>IFERROR(VLOOKUP(L80,CARTON_LOOKUP!$A:$E,5,0),"")</f>
      </c>
      <c r="I80" s="27">
        <f>IFERROR(VLOOKUP(L80,CARTON_LOOKUP!$A:$E,2,0),"")</f>
      </c>
      <c r="J80" s="15" t="s">
        <v>54</v>
      </c>
      <c r="K80" s="28">
        <v>0.21</v>
      </c>
      <c r="L80" s="15" t="s">
        <v>34</v>
      </c>
      <c r="M80" s="15" t="s">
        <v>101</v>
      </c>
      <c r="N80" s="15" t="s">
        <v>102</v>
      </c>
      <c r="O80" s="15" t="s">
        <v>103</v>
      </c>
      <c r="P80" s="15" t="s">
        <v>104</v>
      </c>
      <c r="Q80" s="15"/>
    </row>
    <row r="81" spans="1:17" x14ac:dyDescent="0.25">
      <c r="A81" s="14"/>
      <c r="B81" s="25"/>
      <c r="C81" s="25"/>
      <c r="D81" s="15"/>
      <c r="E81" s="15"/>
      <c r="F81" s="26">
        <f>IFERROR(VLOOKUP(L81,CARTON_LOOKUP!$A:$E,3,0),"")</f>
      </c>
      <c r="G81" s="26">
        <f>IFERROR(VLOOKUP(L81,CARTON_LOOKUP!$A:$E,4,0),"")</f>
      </c>
      <c r="H81" s="26">
        <f>IFERROR(VLOOKUP(L81,CARTON_LOOKUP!$A:$E,5,0),"")</f>
      </c>
      <c r="I81" s="27">
        <f>IFERROR(VLOOKUP(L81,CARTON_LOOKUP!$A:$E,2,0),"")</f>
      </c>
      <c r="J81" s="15" t="s">
        <v>54</v>
      </c>
      <c r="K81" s="28">
        <v>0.21</v>
      </c>
      <c r="L81" s="15" t="s">
        <v>34</v>
      </c>
      <c r="M81" s="15" t="s">
        <v>101</v>
      </c>
      <c r="N81" s="15" t="s">
        <v>102</v>
      </c>
      <c r="O81" s="15" t="s">
        <v>103</v>
      </c>
      <c r="P81" s="15" t="s">
        <v>104</v>
      </c>
      <c r="Q81" s="15"/>
    </row>
    <row r="82" spans="1:17" x14ac:dyDescent="0.25">
      <c r="A82" s="14"/>
      <c r="B82" s="25"/>
      <c r="C82" s="25"/>
      <c r="D82" s="15"/>
      <c r="E82" s="15"/>
      <c r="F82" s="26">
        <f>IFERROR(VLOOKUP(L82,CARTON_LOOKUP!$A:$E,3,0),"")</f>
      </c>
      <c r="G82" s="26">
        <f>IFERROR(VLOOKUP(L82,CARTON_LOOKUP!$A:$E,4,0),"")</f>
      </c>
      <c r="H82" s="26">
        <f>IFERROR(VLOOKUP(L82,CARTON_LOOKUP!$A:$E,5,0),"")</f>
      </c>
      <c r="I82" s="27">
        <f>IFERROR(VLOOKUP(L82,CARTON_LOOKUP!$A:$E,2,0),"")</f>
      </c>
      <c r="J82" s="15" t="s">
        <v>54</v>
      </c>
      <c r="K82" s="28">
        <v>0.21</v>
      </c>
      <c r="L82" s="15" t="s">
        <v>34</v>
      </c>
      <c r="M82" s="15" t="s">
        <v>101</v>
      </c>
      <c r="N82" s="15" t="s">
        <v>102</v>
      </c>
      <c r="O82" s="15" t="s">
        <v>103</v>
      </c>
      <c r="P82" s="15" t="s">
        <v>104</v>
      </c>
      <c r="Q82" s="15"/>
    </row>
    <row r="83" spans="1:17" x14ac:dyDescent="0.25">
      <c r="A83" s="14"/>
      <c r="B83" s="25"/>
      <c r="C83" s="25"/>
      <c r="D83" s="15"/>
      <c r="E83" s="15"/>
      <c r="F83" s="26">
        <f>IFERROR(VLOOKUP(L83,CARTON_LOOKUP!$A:$E,3,0),"")</f>
      </c>
      <c r="G83" s="26">
        <f>IFERROR(VLOOKUP(L83,CARTON_LOOKUP!$A:$E,4,0),"")</f>
      </c>
      <c r="H83" s="26">
        <f>IFERROR(VLOOKUP(L83,CARTON_LOOKUP!$A:$E,5,0),"")</f>
      </c>
      <c r="I83" s="27">
        <f>IFERROR(VLOOKUP(L83,CARTON_LOOKUP!$A:$E,2,0),"")</f>
      </c>
      <c r="J83" s="15" t="s">
        <v>54</v>
      </c>
      <c r="K83" s="28">
        <v>0.21</v>
      </c>
      <c r="L83" s="15" t="s">
        <v>34</v>
      </c>
      <c r="M83" s="15" t="s">
        <v>101</v>
      </c>
      <c r="N83" s="15" t="s">
        <v>102</v>
      </c>
      <c r="O83" s="15" t="s">
        <v>103</v>
      </c>
      <c r="P83" s="15" t="s">
        <v>104</v>
      </c>
      <c r="Q83" s="15"/>
    </row>
    <row r="84" spans="1:17" x14ac:dyDescent="0.25">
      <c r="A84" s="14"/>
      <c r="B84" s="25"/>
      <c r="C84" s="25"/>
      <c r="D84" s="15"/>
      <c r="E84" s="15"/>
      <c r="F84" s="26">
        <f>IFERROR(VLOOKUP(L84,CARTON_LOOKUP!$A:$E,3,0),"")</f>
      </c>
      <c r="G84" s="26">
        <f>IFERROR(VLOOKUP(L84,CARTON_LOOKUP!$A:$E,4,0),"")</f>
      </c>
      <c r="H84" s="26">
        <f>IFERROR(VLOOKUP(L84,CARTON_LOOKUP!$A:$E,5,0),"")</f>
      </c>
      <c r="I84" s="27">
        <f>IFERROR(VLOOKUP(L84,CARTON_LOOKUP!$A:$E,2,0),"")</f>
      </c>
      <c r="J84" s="15" t="s">
        <v>54</v>
      </c>
      <c r="K84" s="28">
        <v>0.21</v>
      </c>
      <c r="L84" s="15" t="s">
        <v>34</v>
      </c>
      <c r="M84" s="15" t="s">
        <v>101</v>
      </c>
      <c r="N84" s="15" t="s">
        <v>102</v>
      </c>
      <c r="O84" s="15" t="s">
        <v>103</v>
      </c>
      <c r="P84" s="15" t="s">
        <v>104</v>
      </c>
      <c r="Q84" s="15"/>
    </row>
    <row r="85" spans="1:17" x14ac:dyDescent="0.25">
      <c r="A85" s="14"/>
      <c r="B85" s="25"/>
      <c r="C85" s="25"/>
      <c r="D85" s="15"/>
      <c r="E85" s="15"/>
      <c r="F85" s="26">
        <f>IFERROR(VLOOKUP(L85,CARTON_LOOKUP!$A:$E,3,0),"")</f>
      </c>
      <c r="G85" s="26">
        <f>IFERROR(VLOOKUP(L85,CARTON_LOOKUP!$A:$E,4,0),"")</f>
      </c>
      <c r="H85" s="26">
        <f>IFERROR(VLOOKUP(L85,CARTON_LOOKUP!$A:$E,5,0),"")</f>
      </c>
      <c r="I85" s="27">
        <f>IFERROR(VLOOKUP(L85,CARTON_LOOKUP!$A:$E,2,0),"")</f>
      </c>
      <c r="J85" s="15" t="s">
        <v>54</v>
      </c>
      <c r="K85" s="28">
        <v>0.21</v>
      </c>
      <c r="L85" s="15" t="s">
        <v>34</v>
      </c>
      <c r="M85" s="15" t="s">
        <v>101</v>
      </c>
      <c r="N85" s="15" t="s">
        <v>102</v>
      </c>
      <c r="O85" s="15" t="s">
        <v>103</v>
      </c>
      <c r="P85" s="15" t="s">
        <v>104</v>
      </c>
      <c r="Q85" s="15"/>
    </row>
    <row r="86" spans="1:17" x14ac:dyDescent="0.25">
      <c r="A86" s="14"/>
      <c r="B86" s="25"/>
      <c r="C86" s="25"/>
      <c r="D86" s="15"/>
      <c r="E86" s="15"/>
      <c r="F86" s="26">
        <f>IFERROR(VLOOKUP(L86,CARTON_LOOKUP!$A:$E,3,0),"")</f>
      </c>
      <c r="G86" s="26">
        <f>IFERROR(VLOOKUP(L86,CARTON_LOOKUP!$A:$E,4,0),"")</f>
      </c>
      <c r="H86" s="26">
        <f>IFERROR(VLOOKUP(L86,CARTON_LOOKUP!$A:$E,5,0),"")</f>
      </c>
      <c r="I86" s="27">
        <f>IFERROR(VLOOKUP(L86,CARTON_LOOKUP!$A:$E,2,0),"")</f>
      </c>
      <c r="J86" s="15" t="s">
        <v>54</v>
      </c>
      <c r="K86" s="28">
        <v>0.21</v>
      </c>
      <c r="L86" s="15" t="s">
        <v>34</v>
      </c>
      <c r="M86" s="15" t="s">
        <v>101</v>
      </c>
      <c r="N86" s="15" t="s">
        <v>102</v>
      </c>
      <c r="O86" s="15" t="s">
        <v>103</v>
      </c>
      <c r="P86" s="15" t="s">
        <v>104</v>
      </c>
      <c r="Q86" s="15"/>
    </row>
    <row r="87" spans="1:17" x14ac:dyDescent="0.25">
      <c r="A87" s="14"/>
      <c r="B87" s="25"/>
      <c r="C87" s="25"/>
      <c r="D87" s="15"/>
      <c r="E87" s="15"/>
      <c r="F87" s="26">
        <f>IFERROR(VLOOKUP(L87,CARTON_LOOKUP!$A:$E,3,0),"")</f>
      </c>
      <c r="G87" s="26">
        <f>IFERROR(VLOOKUP(L87,CARTON_LOOKUP!$A:$E,4,0),"")</f>
      </c>
      <c r="H87" s="26">
        <f>IFERROR(VLOOKUP(L87,CARTON_LOOKUP!$A:$E,5,0),"")</f>
      </c>
      <c r="I87" s="27">
        <f>IFERROR(VLOOKUP(L87,CARTON_LOOKUP!$A:$E,2,0),"")</f>
      </c>
      <c r="J87" s="15" t="s">
        <v>54</v>
      </c>
      <c r="K87" s="28">
        <v>0.21</v>
      </c>
      <c r="L87" s="15" t="s">
        <v>34</v>
      </c>
      <c r="M87" s="15" t="s">
        <v>101</v>
      </c>
      <c r="N87" s="15" t="s">
        <v>102</v>
      </c>
      <c r="O87" s="15" t="s">
        <v>103</v>
      </c>
      <c r="P87" s="15" t="s">
        <v>104</v>
      </c>
      <c r="Q87" s="15"/>
    </row>
    <row r="88" spans="1:17" x14ac:dyDescent="0.25">
      <c r="A88" s="14"/>
      <c r="B88" s="25"/>
      <c r="C88" s="25"/>
      <c r="D88" s="15"/>
      <c r="E88" s="15"/>
      <c r="F88" s="26">
        <f>IFERROR(VLOOKUP(L88,CARTON_LOOKUP!$A:$E,3,0),"")</f>
      </c>
      <c r="G88" s="26">
        <f>IFERROR(VLOOKUP(L88,CARTON_LOOKUP!$A:$E,4,0),"")</f>
      </c>
      <c r="H88" s="26">
        <f>IFERROR(VLOOKUP(L88,CARTON_LOOKUP!$A:$E,5,0),"")</f>
      </c>
      <c r="I88" s="27">
        <f>IFERROR(VLOOKUP(L88,CARTON_LOOKUP!$A:$E,2,0),"")</f>
      </c>
      <c r="J88" s="15" t="s">
        <v>54</v>
      </c>
      <c r="K88" s="28">
        <v>0.21</v>
      </c>
      <c r="L88" s="15" t="s">
        <v>34</v>
      </c>
      <c r="M88" s="15" t="s">
        <v>101</v>
      </c>
      <c r="N88" s="15" t="s">
        <v>102</v>
      </c>
      <c r="O88" s="15" t="s">
        <v>103</v>
      </c>
      <c r="P88" s="15" t="s">
        <v>104</v>
      </c>
      <c r="Q88" s="15"/>
    </row>
    <row r="89" spans="1:17" x14ac:dyDescent="0.25">
      <c r="A89" s="14"/>
      <c r="B89" s="25"/>
      <c r="C89" s="25"/>
      <c r="D89" s="15"/>
      <c r="E89" s="15"/>
      <c r="F89" s="26">
        <f>IFERROR(VLOOKUP(L89,CARTON_LOOKUP!$A:$E,3,0),"")</f>
      </c>
      <c r="G89" s="26">
        <f>IFERROR(VLOOKUP(L89,CARTON_LOOKUP!$A:$E,4,0),"")</f>
      </c>
      <c r="H89" s="26">
        <f>IFERROR(VLOOKUP(L89,CARTON_LOOKUP!$A:$E,5,0),"")</f>
      </c>
      <c r="I89" s="27">
        <f>IFERROR(VLOOKUP(L89,CARTON_LOOKUP!$A:$E,2,0),"")</f>
      </c>
      <c r="J89" s="15" t="s">
        <v>54</v>
      </c>
      <c r="K89" s="28">
        <v>0.21</v>
      </c>
      <c r="L89" s="15" t="s">
        <v>34</v>
      </c>
      <c r="M89" s="15" t="s">
        <v>101</v>
      </c>
      <c r="N89" s="15" t="s">
        <v>102</v>
      </c>
      <c r="O89" s="15" t="s">
        <v>103</v>
      </c>
      <c r="P89" s="15" t="s">
        <v>104</v>
      </c>
      <c r="Q89" s="15"/>
    </row>
    <row r="90" spans="1:17" x14ac:dyDescent="0.25">
      <c r="A90" s="14"/>
      <c r="B90" s="25"/>
      <c r="C90" s="25"/>
      <c r="D90" s="15"/>
      <c r="E90" s="15"/>
      <c r="F90" s="26">
        <f>IFERROR(VLOOKUP(L90,CARTON_LOOKUP!$A:$E,3,0),"")</f>
      </c>
      <c r="G90" s="26">
        <f>IFERROR(VLOOKUP(L90,CARTON_LOOKUP!$A:$E,4,0),"")</f>
      </c>
      <c r="H90" s="26">
        <f>IFERROR(VLOOKUP(L90,CARTON_LOOKUP!$A:$E,5,0),"")</f>
      </c>
      <c r="I90" s="27">
        <f>IFERROR(VLOOKUP(L90,CARTON_LOOKUP!$A:$E,2,0),"")</f>
      </c>
      <c r="J90" s="15" t="s">
        <v>54</v>
      </c>
      <c r="K90" s="28">
        <v>0.21</v>
      </c>
      <c r="L90" s="15" t="s">
        <v>34</v>
      </c>
      <c r="M90" s="15" t="s">
        <v>101</v>
      </c>
      <c r="N90" s="15" t="s">
        <v>102</v>
      </c>
      <c r="O90" s="15" t="s">
        <v>103</v>
      </c>
      <c r="P90" s="15" t="s">
        <v>104</v>
      </c>
      <c r="Q90" s="15"/>
    </row>
    <row r="91" spans="1:17" x14ac:dyDescent="0.25">
      <c r="A91" s="14"/>
      <c r="B91" s="25"/>
      <c r="C91" s="25"/>
      <c r="D91" s="15"/>
      <c r="E91" s="15"/>
      <c r="F91" s="26">
        <f>IFERROR(VLOOKUP(L91,CARTON_LOOKUP!$A:$E,3,0),"")</f>
      </c>
      <c r="G91" s="26">
        <f>IFERROR(VLOOKUP(L91,CARTON_LOOKUP!$A:$E,4,0),"")</f>
      </c>
      <c r="H91" s="26">
        <f>IFERROR(VLOOKUP(L91,CARTON_LOOKUP!$A:$E,5,0),"")</f>
      </c>
      <c r="I91" s="27">
        <f>IFERROR(VLOOKUP(L91,CARTON_LOOKUP!$A:$E,2,0),"")</f>
      </c>
      <c r="J91" s="15" t="s">
        <v>54</v>
      </c>
      <c r="K91" s="28">
        <v>0.21</v>
      </c>
      <c r="L91" s="15" t="s">
        <v>34</v>
      </c>
      <c r="M91" s="15" t="s">
        <v>101</v>
      </c>
      <c r="N91" s="15" t="s">
        <v>102</v>
      </c>
      <c r="O91" s="15" t="s">
        <v>103</v>
      </c>
      <c r="P91" s="15" t="s">
        <v>104</v>
      </c>
      <c r="Q91" s="15"/>
    </row>
    <row r="92" spans="1:17" x14ac:dyDescent="0.25">
      <c r="A92" s="14"/>
      <c r="B92" s="25"/>
      <c r="C92" s="25"/>
      <c r="D92" s="15"/>
      <c r="E92" s="15"/>
      <c r="F92" s="26">
        <f>IFERROR(VLOOKUP(L92,CARTON_LOOKUP!$A:$E,3,0),"")</f>
      </c>
      <c r="G92" s="26">
        <f>IFERROR(VLOOKUP(L92,CARTON_LOOKUP!$A:$E,4,0),"")</f>
      </c>
      <c r="H92" s="26">
        <f>IFERROR(VLOOKUP(L92,CARTON_LOOKUP!$A:$E,5,0),"")</f>
      </c>
      <c r="I92" s="27">
        <f>IFERROR(VLOOKUP(L92,CARTON_LOOKUP!$A:$E,2,0),"")</f>
      </c>
      <c r="J92" s="15" t="s">
        <v>54</v>
      </c>
      <c r="K92" s="28">
        <v>0.21</v>
      </c>
      <c r="L92" s="15" t="s">
        <v>34</v>
      </c>
      <c r="M92" s="15" t="s">
        <v>101</v>
      </c>
      <c r="N92" s="15" t="s">
        <v>102</v>
      </c>
      <c r="O92" s="15" t="s">
        <v>103</v>
      </c>
      <c r="P92" s="15" t="s">
        <v>104</v>
      </c>
      <c r="Q92" s="15"/>
    </row>
    <row r="93" spans="1:17" x14ac:dyDescent="0.25">
      <c r="A93" s="14"/>
      <c r="B93" s="25"/>
      <c r="C93" s="25"/>
      <c r="D93" s="15"/>
      <c r="E93" s="15"/>
      <c r="F93" s="26">
        <f>IFERROR(VLOOKUP(L93,CARTON_LOOKUP!$A:$E,3,0),"")</f>
      </c>
      <c r="G93" s="26">
        <f>IFERROR(VLOOKUP(L93,CARTON_LOOKUP!$A:$E,4,0),"")</f>
      </c>
      <c r="H93" s="26">
        <f>IFERROR(VLOOKUP(L93,CARTON_LOOKUP!$A:$E,5,0),"")</f>
      </c>
      <c r="I93" s="27">
        <f>IFERROR(VLOOKUP(L93,CARTON_LOOKUP!$A:$E,2,0),"")</f>
      </c>
      <c r="J93" s="15" t="s">
        <v>54</v>
      </c>
      <c r="K93" s="28">
        <v>0.21</v>
      </c>
      <c r="L93" s="15" t="s">
        <v>34</v>
      </c>
      <c r="M93" s="15" t="s">
        <v>101</v>
      </c>
      <c r="N93" s="15" t="s">
        <v>102</v>
      </c>
      <c r="O93" s="15" t="s">
        <v>103</v>
      </c>
      <c r="P93" s="15" t="s">
        <v>104</v>
      </c>
      <c r="Q93" s="15"/>
    </row>
    <row r="94" spans="1:17" x14ac:dyDescent="0.25">
      <c r="A94" s="14"/>
      <c r="B94" s="25"/>
      <c r="C94" s="25"/>
      <c r="D94" s="15"/>
      <c r="E94" s="15"/>
      <c r="F94" s="26">
        <f>IFERROR(VLOOKUP(L94,CARTON_LOOKUP!$A:$E,3,0),"")</f>
      </c>
      <c r="G94" s="26">
        <f>IFERROR(VLOOKUP(L94,CARTON_LOOKUP!$A:$E,4,0),"")</f>
      </c>
      <c r="H94" s="26">
        <f>IFERROR(VLOOKUP(L94,CARTON_LOOKUP!$A:$E,5,0),"")</f>
      </c>
      <c r="I94" s="27">
        <f>IFERROR(VLOOKUP(L94,CARTON_LOOKUP!$A:$E,2,0),"")</f>
      </c>
      <c r="J94" s="15" t="s">
        <v>54</v>
      </c>
      <c r="K94" s="28">
        <v>0.21</v>
      </c>
      <c r="L94" s="15" t="s">
        <v>34</v>
      </c>
      <c r="M94" s="15" t="s">
        <v>101</v>
      </c>
      <c r="N94" s="15" t="s">
        <v>102</v>
      </c>
      <c r="O94" s="15" t="s">
        <v>103</v>
      </c>
      <c r="P94" s="15" t="s">
        <v>104</v>
      </c>
      <c r="Q94" s="15"/>
    </row>
    <row r="95" spans="1:17" x14ac:dyDescent="0.25">
      <c r="A95" s="14"/>
      <c r="B95" s="25"/>
      <c r="C95" s="25"/>
      <c r="D95" s="15"/>
      <c r="E95" s="15"/>
      <c r="F95" s="26">
        <f>IFERROR(VLOOKUP(L95,CARTON_LOOKUP!$A:$E,3,0),"")</f>
      </c>
      <c r="G95" s="26">
        <f>IFERROR(VLOOKUP(L95,CARTON_LOOKUP!$A:$E,4,0),"")</f>
      </c>
      <c r="H95" s="26">
        <f>IFERROR(VLOOKUP(L95,CARTON_LOOKUP!$A:$E,5,0),"")</f>
      </c>
      <c r="I95" s="27">
        <f>IFERROR(VLOOKUP(L95,CARTON_LOOKUP!$A:$E,2,0),"")</f>
      </c>
      <c r="J95" s="15" t="s">
        <v>54</v>
      </c>
      <c r="K95" s="28">
        <v>0.21</v>
      </c>
      <c r="L95" s="15" t="s">
        <v>34</v>
      </c>
      <c r="M95" s="15" t="s">
        <v>101</v>
      </c>
      <c r="N95" s="15" t="s">
        <v>102</v>
      </c>
      <c r="O95" s="15" t="s">
        <v>103</v>
      </c>
      <c r="P95" s="15" t="s">
        <v>104</v>
      </c>
      <c r="Q95" s="15"/>
    </row>
    <row r="96" spans="1:17" x14ac:dyDescent="0.25">
      <c r="A96" s="14"/>
      <c r="B96" s="25"/>
      <c r="C96" s="25"/>
      <c r="D96" s="15"/>
      <c r="E96" s="15"/>
      <c r="F96" s="26">
        <f>IFERROR(VLOOKUP(L96,CARTON_LOOKUP!$A:$E,3,0),"")</f>
      </c>
      <c r="G96" s="26">
        <f>IFERROR(VLOOKUP(L96,CARTON_LOOKUP!$A:$E,4,0),"")</f>
      </c>
      <c r="H96" s="26">
        <f>IFERROR(VLOOKUP(L96,CARTON_LOOKUP!$A:$E,5,0),"")</f>
      </c>
      <c r="I96" s="27">
        <f>IFERROR(VLOOKUP(L96,CARTON_LOOKUP!$A:$E,2,0),"")</f>
      </c>
      <c r="J96" s="15" t="s">
        <v>54</v>
      </c>
      <c r="K96" s="28">
        <v>0.21</v>
      </c>
      <c r="L96" s="15" t="s">
        <v>34</v>
      </c>
      <c r="M96" s="15" t="s">
        <v>101</v>
      </c>
      <c r="N96" s="15" t="s">
        <v>102</v>
      </c>
      <c r="O96" s="15" t="s">
        <v>103</v>
      </c>
      <c r="P96" s="15" t="s">
        <v>104</v>
      </c>
      <c r="Q96" s="15"/>
    </row>
    <row r="97" spans="1:17" x14ac:dyDescent="0.25">
      <c r="A97" s="14"/>
      <c r="B97" s="25"/>
      <c r="C97" s="25"/>
      <c r="D97" s="15"/>
      <c r="E97" s="15"/>
      <c r="F97" s="26">
        <f>IFERROR(VLOOKUP(L97,CARTON_LOOKUP!$A:$E,3,0),"")</f>
      </c>
      <c r="G97" s="26">
        <f>IFERROR(VLOOKUP(L97,CARTON_LOOKUP!$A:$E,4,0),"")</f>
      </c>
      <c r="H97" s="26">
        <f>IFERROR(VLOOKUP(L97,CARTON_LOOKUP!$A:$E,5,0),"")</f>
      </c>
      <c r="I97" s="27">
        <f>IFERROR(VLOOKUP(L97,CARTON_LOOKUP!$A:$E,2,0),"")</f>
      </c>
      <c r="J97" s="15" t="s">
        <v>54</v>
      </c>
      <c r="K97" s="28">
        <v>0.21</v>
      </c>
      <c r="L97" s="15" t="s">
        <v>34</v>
      </c>
      <c r="M97" s="15" t="s">
        <v>101</v>
      </c>
      <c r="N97" s="15" t="s">
        <v>102</v>
      </c>
      <c r="O97" s="15" t="s">
        <v>103</v>
      </c>
      <c r="P97" s="15" t="s">
        <v>104</v>
      </c>
      <c r="Q97" s="15"/>
    </row>
    <row r="98" spans="1:17" x14ac:dyDescent="0.25">
      <c r="A98" s="14"/>
      <c r="B98" s="25"/>
      <c r="C98" s="25"/>
      <c r="D98" s="15"/>
      <c r="E98" s="15"/>
      <c r="F98" s="26">
        <f>IFERROR(VLOOKUP(L98,CARTON_LOOKUP!$A:$E,3,0),"")</f>
      </c>
      <c r="G98" s="26">
        <f>IFERROR(VLOOKUP(L98,CARTON_LOOKUP!$A:$E,4,0),"")</f>
      </c>
      <c r="H98" s="26">
        <f>IFERROR(VLOOKUP(L98,CARTON_LOOKUP!$A:$E,5,0),"")</f>
      </c>
      <c r="I98" s="27">
        <f>IFERROR(VLOOKUP(L98,CARTON_LOOKUP!$A:$E,2,0),"")</f>
      </c>
      <c r="J98" s="15" t="s">
        <v>54</v>
      </c>
      <c r="K98" s="28">
        <v>0.21</v>
      </c>
      <c r="L98" s="15" t="s">
        <v>34</v>
      </c>
      <c r="M98" s="15" t="s">
        <v>101</v>
      </c>
      <c r="N98" s="15" t="s">
        <v>102</v>
      </c>
      <c r="O98" s="15" t="s">
        <v>103</v>
      </c>
      <c r="P98" s="15" t="s">
        <v>104</v>
      </c>
      <c r="Q98" s="15"/>
    </row>
    <row r="99" spans="1:17" x14ac:dyDescent="0.25">
      <c r="A99" s="14"/>
      <c r="B99" s="25"/>
      <c r="C99" s="25"/>
      <c r="D99" s="15"/>
      <c r="E99" s="15"/>
      <c r="F99" s="26">
        <f>IFERROR(VLOOKUP(L99,CARTON_LOOKUP!$A:$E,3,0),"")</f>
      </c>
      <c r="G99" s="26">
        <f>IFERROR(VLOOKUP(L99,CARTON_LOOKUP!$A:$E,4,0),"")</f>
      </c>
      <c r="H99" s="26">
        <f>IFERROR(VLOOKUP(L99,CARTON_LOOKUP!$A:$E,5,0),"")</f>
      </c>
      <c r="I99" s="27">
        <f>IFERROR(VLOOKUP(L99,CARTON_LOOKUP!$A:$E,2,0),"")</f>
      </c>
      <c r="J99" s="15" t="s">
        <v>54</v>
      </c>
      <c r="K99" s="28">
        <v>0.21</v>
      </c>
      <c r="L99" s="15" t="s">
        <v>34</v>
      </c>
      <c r="M99" s="15" t="s">
        <v>101</v>
      </c>
      <c r="N99" s="15" t="s">
        <v>102</v>
      </c>
      <c r="O99" s="15" t="s">
        <v>103</v>
      </c>
      <c r="P99" s="15" t="s">
        <v>104</v>
      </c>
      <c r="Q99" s="15"/>
    </row>
    <row r="100" spans="1:17" x14ac:dyDescent="0.25">
      <c r="A100" s="14"/>
      <c r="B100" s="25"/>
      <c r="C100" s="25"/>
      <c r="D100" s="15"/>
      <c r="E100" s="15"/>
      <c r="F100" s="26">
        <f>IFERROR(VLOOKUP(L100,CARTON_LOOKUP!$A:$E,3,0),"")</f>
      </c>
      <c r="G100" s="26">
        <f>IFERROR(VLOOKUP(L100,CARTON_LOOKUP!$A:$E,4,0),"")</f>
      </c>
      <c r="H100" s="26">
        <f>IFERROR(VLOOKUP(L100,CARTON_LOOKUP!$A:$E,5,0),"")</f>
      </c>
      <c r="I100" s="27">
        <f>IFERROR(VLOOKUP(L100,CARTON_LOOKUP!$A:$E,2,0),"")</f>
      </c>
      <c r="J100" s="15" t="s">
        <v>54</v>
      </c>
      <c r="K100" s="28">
        <v>0.21</v>
      </c>
      <c r="L100" s="15" t="s">
        <v>34</v>
      </c>
      <c r="M100" s="15" t="s">
        <v>101</v>
      </c>
      <c r="N100" s="15" t="s">
        <v>102</v>
      </c>
      <c r="O100" s="15" t="s">
        <v>103</v>
      </c>
      <c r="P100" s="15" t="s">
        <v>104</v>
      </c>
      <c r="Q100" s="15"/>
    </row>
    <row r="101" spans="1:17" x14ac:dyDescent="0.25">
      <c r="A101" s="14"/>
      <c r="B101" s="25"/>
      <c r="C101" s="25"/>
      <c r="D101" s="15"/>
      <c r="E101" s="15"/>
      <c r="F101" s="26">
        <f>IFERROR(VLOOKUP(L101,CARTON_LOOKUP!$A:$E,3,0),"")</f>
      </c>
      <c r="G101" s="26">
        <f>IFERROR(VLOOKUP(L101,CARTON_LOOKUP!$A:$E,4,0),"")</f>
      </c>
      <c r="H101" s="26">
        <f>IFERROR(VLOOKUP(L101,CARTON_LOOKUP!$A:$E,5,0),"")</f>
      </c>
      <c r="I101" s="27">
        <f>IFERROR(VLOOKUP(L101,CARTON_LOOKUP!$A:$E,2,0),"")</f>
      </c>
      <c r="J101" s="15" t="s">
        <v>54</v>
      </c>
      <c r="K101" s="28">
        <v>0.21</v>
      </c>
      <c r="L101" s="15" t="s">
        <v>34</v>
      </c>
      <c r="M101" s="15" t="s">
        <v>101</v>
      </c>
      <c r="N101" s="15" t="s">
        <v>102</v>
      </c>
      <c r="O101" s="15" t="s">
        <v>103</v>
      </c>
      <c r="P101" s="15" t="s">
        <v>104</v>
      </c>
      <c r="Q101" s="15"/>
    </row>
    <row r="102" spans="1:17" x14ac:dyDescent="0.25">
      <c r="A102" s="14"/>
      <c r="B102" s="25"/>
      <c r="C102" s="25"/>
      <c r="D102" s="15"/>
      <c r="E102" s="15"/>
      <c r="F102" s="26">
        <f>IFERROR(VLOOKUP(L102,CARTON_LOOKUP!$A:$E,3,0),"")</f>
      </c>
      <c r="G102" s="26">
        <f>IFERROR(VLOOKUP(L102,CARTON_LOOKUP!$A:$E,4,0),"")</f>
      </c>
      <c r="H102" s="26">
        <f>IFERROR(VLOOKUP(L102,CARTON_LOOKUP!$A:$E,5,0),"")</f>
      </c>
      <c r="I102" s="27">
        <f>IFERROR(VLOOKUP(L102,CARTON_LOOKUP!$A:$E,2,0),"")</f>
      </c>
      <c r="J102" s="15" t="s">
        <v>54</v>
      </c>
      <c r="K102" s="28">
        <v>0.21</v>
      </c>
      <c r="L102" s="15" t="s">
        <v>34</v>
      </c>
      <c r="M102" s="15" t="s">
        <v>101</v>
      </c>
      <c r="N102" s="15" t="s">
        <v>102</v>
      </c>
      <c r="O102" s="15" t="s">
        <v>103</v>
      </c>
      <c r="P102" s="15" t="s">
        <v>104</v>
      </c>
      <c r="Q102" s="15"/>
    </row>
    <row r="103" spans="1:17" x14ac:dyDescent="0.25">
      <c r="A103" s="14"/>
      <c r="B103" s="25"/>
      <c r="C103" s="25"/>
      <c r="D103" s="15"/>
      <c r="E103" s="15"/>
      <c r="F103" s="26">
        <f>IFERROR(VLOOKUP(L103,CARTON_LOOKUP!$A:$E,3,0),"")</f>
      </c>
      <c r="G103" s="26">
        <f>IFERROR(VLOOKUP(L103,CARTON_LOOKUP!$A:$E,4,0),"")</f>
      </c>
      <c r="H103" s="26">
        <f>IFERROR(VLOOKUP(L103,CARTON_LOOKUP!$A:$E,5,0),"")</f>
      </c>
      <c r="I103" s="27">
        <f>IFERROR(VLOOKUP(L103,CARTON_LOOKUP!$A:$E,2,0),"")</f>
      </c>
      <c r="J103" s="15" t="s">
        <v>54</v>
      </c>
      <c r="K103" s="28">
        <v>0.21</v>
      </c>
      <c r="L103" s="15" t="s">
        <v>34</v>
      </c>
      <c r="M103" s="15" t="s">
        <v>101</v>
      </c>
      <c r="N103" s="15" t="s">
        <v>102</v>
      </c>
      <c r="O103" s="15" t="s">
        <v>103</v>
      </c>
      <c r="P103" s="15" t="s">
        <v>104</v>
      </c>
      <c r="Q103" s="15"/>
    </row>
    <row r="104" spans="1:17" x14ac:dyDescent="0.25">
      <c r="A104" s="14"/>
      <c r="B104" s="25"/>
      <c r="C104" s="25"/>
      <c r="D104" s="15"/>
      <c r="E104" s="15"/>
      <c r="F104" s="26">
        <f>IFERROR(VLOOKUP(L104,CARTON_LOOKUP!$A:$E,3,0),"")</f>
      </c>
      <c r="G104" s="26">
        <f>IFERROR(VLOOKUP(L104,CARTON_LOOKUP!$A:$E,4,0),"")</f>
      </c>
      <c r="H104" s="26">
        <f>IFERROR(VLOOKUP(L104,CARTON_LOOKUP!$A:$E,5,0),"")</f>
      </c>
      <c r="I104" s="27">
        <f>IFERROR(VLOOKUP(L104,CARTON_LOOKUP!$A:$E,2,0),"")</f>
      </c>
      <c r="J104" s="15" t="s">
        <v>54</v>
      </c>
      <c r="K104" s="28">
        <v>0.21</v>
      </c>
      <c r="L104" s="15" t="s">
        <v>34</v>
      </c>
      <c r="M104" s="15" t="s">
        <v>101</v>
      </c>
      <c r="N104" s="15" t="s">
        <v>102</v>
      </c>
      <c r="O104" s="15" t="s">
        <v>103</v>
      </c>
      <c r="P104" s="15" t="s">
        <v>104</v>
      </c>
      <c r="Q104" s="15"/>
    </row>
    <row r="105" spans="1:17" x14ac:dyDescent="0.25">
      <c r="A105" s="14"/>
      <c r="B105" s="25"/>
      <c r="C105" s="25"/>
      <c r="D105" s="15"/>
      <c r="E105" s="15"/>
      <c r="F105" s="26">
        <f>IFERROR(VLOOKUP(L105,CARTON_LOOKUP!$A:$E,3,0),"")</f>
      </c>
      <c r="G105" s="26">
        <f>IFERROR(VLOOKUP(L105,CARTON_LOOKUP!$A:$E,4,0),"")</f>
      </c>
      <c r="H105" s="26">
        <f>IFERROR(VLOOKUP(L105,CARTON_LOOKUP!$A:$E,5,0),"")</f>
      </c>
      <c r="I105" s="27">
        <f>IFERROR(VLOOKUP(L105,CARTON_LOOKUP!$A:$E,2,0),"")</f>
      </c>
      <c r="J105" s="15" t="s">
        <v>54</v>
      </c>
      <c r="K105" s="28">
        <v>0.21</v>
      </c>
      <c r="L105" s="15" t="s">
        <v>34</v>
      </c>
      <c r="M105" s="15" t="s">
        <v>101</v>
      </c>
      <c r="N105" s="15" t="s">
        <v>102</v>
      </c>
      <c r="O105" s="15" t="s">
        <v>103</v>
      </c>
      <c r="P105" s="15" t="s">
        <v>104</v>
      </c>
      <c r="Q105" s="15"/>
    </row>
    <row r="106" spans="1:17" x14ac:dyDescent="0.25">
      <c r="A106" s="14"/>
      <c r="B106" s="25"/>
      <c r="C106" s="25"/>
      <c r="D106" s="15"/>
      <c r="E106" s="15"/>
      <c r="F106" s="26">
        <f>IFERROR(VLOOKUP(L106,CARTON_LOOKUP!$A:$E,3,0),"")</f>
      </c>
      <c r="G106" s="26">
        <f>IFERROR(VLOOKUP(L106,CARTON_LOOKUP!$A:$E,4,0),"")</f>
      </c>
      <c r="H106" s="26">
        <f>IFERROR(VLOOKUP(L106,CARTON_LOOKUP!$A:$E,5,0),"")</f>
      </c>
      <c r="I106" s="27">
        <f>IFERROR(VLOOKUP(L106,CARTON_LOOKUP!$A:$E,2,0),"")</f>
      </c>
      <c r="J106" s="15" t="s">
        <v>54</v>
      </c>
      <c r="K106" s="28">
        <v>0.21</v>
      </c>
      <c r="L106" s="15" t="s">
        <v>34</v>
      </c>
      <c r="M106" s="15" t="s">
        <v>101</v>
      </c>
      <c r="N106" s="15" t="s">
        <v>102</v>
      </c>
      <c r="O106" s="15" t="s">
        <v>103</v>
      </c>
      <c r="P106" s="15" t="s">
        <v>104</v>
      </c>
      <c r="Q106" s="15"/>
    </row>
    <row r="107" spans="1:17" x14ac:dyDescent="0.25">
      <c r="A107" s="14"/>
      <c r="B107" s="25"/>
      <c r="C107" s="25"/>
      <c r="D107" s="15"/>
      <c r="E107" s="15"/>
      <c r="F107" s="26">
        <f>IFERROR(VLOOKUP(L107,CARTON_LOOKUP!$A:$E,3,0),"")</f>
      </c>
      <c r="G107" s="26">
        <f>IFERROR(VLOOKUP(L107,CARTON_LOOKUP!$A:$E,4,0),"")</f>
      </c>
      <c r="H107" s="26">
        <f>IFERROR(VLOOKUP(L107,CARTON_LOOKUP!$A:$E,5,0),"")</f>
      </c>
      <c r="I107" s="27">
        <f>IFERROR(VLOOKUP(L107,CARTON_LOOKUP!$A:$E,2,0),"")</f>
      </c>
      <c r="J107" s="15" t="s">
        <v>54</v>
      </c>
      <c r="K107" s="28">
        <v>0.21</v>
      </c>
      <c r="L107" s="15" t="s">
        <v>34</v>
      </c>
      <c r="M107" s="15" t="s">
        <v>101</v>
      </c>
      <c r="N107" s="15" t="s">
        <v>102</v>
      </c>
      <c r="O107" s="15" t="s">
        <v>103</v>
      </c>
      <c r="P107" s="15" t="s">
        <v>104</v>
      </c>
      <c r="Q107" s="15"/>
    </row>
    <row r="108" spans="1:17" x14ac:dyDescent="0.25">
      <c r="A108" s="14"/>
      <c r="B108" s="25"/>
      <c r="C108" s="25"/>
      <c r="D108" s="15"/>
      <c r="E108" s="15"/>
      <c r="F108" s="26">
        <f>IFERROR(VLOOKUP(L108,CARTON_LOOKUP!$A:$E,3,0),"")</f>
      </c>
      <c r="G108" s="26">
        <f>IFERROR(VLOOKUP(L108,CARTON_LOOKUP!$A:$E,4,0),"")</f>
      </c>
      <c r="H108" s="26">
        <f>IFERROR(VLOOKUP(L108,CARTON_LOOKUP!$A:$E,5,0),"")</f>
      </c>
      <c r="I108" s="27">
        <f>IFERROR(VLOOKUP(L108,CARTON_LOOKUP!$A:$E,2,0),"")</f>
      </c>
      <c r="J108" s="15" t="s">
        <v>54</v>
      </c>
      <c r="K108" s="28">
        <v>0.21</v>
      </c>
      <c r="L108" s="15" t="s">
        <v>34</v>
      </c>
      <c r="M108" s="15" t="s">
        <v>101</v>
      </c>
      <c r="N108" s="15" t="s">
        <v>102</v>
      </c>
      <c r="O108" s="15" t="s">
        <v>103</v>
      </c>
      <c r="P108" s="15" t="s">
        <v>104</v>
      </c>
      <c r="Q108" s="15"/>
    </row>
    <row r="109" spans="1:17" x14ac:dyDescent="0.25">
      <c r="A109" s="14"/>
      <c r="B109" s="25"/>
      <c r="C109" s="25"/>
      <c r="D109" s="15"/>
      <c r="E109" s="15"/>
      <c r="F109" s="26">
        <f>IFERROR(VLOOKUP(L109,CARTON_LOOKUP!$A:$E,3,0),"")</f>
      </c>
      <c r="G109" s="26">
        <f>IFERROR(VLOOKUP(L109,CARTON_LOOKUP!$A:$E,4,0),"")</f>
      </c>
      <c r="H109" s="26">
        <f>IFERROR(VLOOKUP(L109,CARTON_LOOKUP!$A:$E,5,0),"")</f>
      </c>
      <c r="I109" s="27">
        <f>IFERROR(VLOOKUP(L109,CARTON_LOOKUP!$A:$E,2,0),"")</f>
      </c>
      <c r="J109" s="15" t="s">
        <v>54</v>
      </c>
      <c r="K109" s="28">
        <v>0.21</v>
      </c>
      <c r="L109" s="15" t="s">
        <v>34</v>
      </c>
      <c r="M109" s="15" t="s">
        <v>101</v>
      </c>
      <c r="N109" s="15" t="s">
        <v>102</v>
      </c>
      <c r="O109" s="15" t="s">
        <v>103</v>
      </c>
      <c r="P109" s="15" t="s">
        <v>104</v>
      </c>
      <c r="Q109" s="15"/>
    </row>
    <row r="110" spans="1:17" x14ac:dyDescent="0.25">
      <c r="A110" s="14"/>
      <c r="B110" s="25"/>
      <c r="C110" s="25"/>
      <c r="D110" s="15"/>
      <c r="E110" s="15"/>
      <c r="F110" s="26">
        <f>IFERROR(VLOOKUP(L110,CARTON_LOOKUP!$A:$E,3,0),"")</f>
      </c>
      <c r="G110" s="26">
        <f>IFERROR(VLOOKUP(L110,CARTON_LOOKUP!$A:$E,4,0),"")</f>
      </c>
      <c r="H110" s="26">
        <f>IFERROR(VLOOKUP(L110,CARTON_LOOKUP!$A:$E,5,0),"")</f>
      </c>
      <c r="I110" s="27">
        <f>IFERROR(VLOOKUP(L110,CARTON_LOOKUP!$A:$E,2,0),"")</f>
      </c>
      <c r="J110" s="15" t="s">
        <v>54</v>
      </c>
      <c r="K110" s="28">
        <v>0.21</v>
      </c>
      <c r="L110" s="15" t="s">
        <v>34</v>
      </c>
      <c r="M110" s="15" t="s">
        <v>101</v>
      </c>
      <c r="N110" s="15" t="s">
        <v>102</v>
      </c>
      <c r="O110" s="15" t="s">
        <v>103</v>
      </c>
      <c r="P110" s="15" t="s">
        <v>104</v>
      </c>
      <c r="Q110" s="15"/>
    </row>
    <row r="111" spans="1:17" x14ac:dyDescent="0.25">
      <c r="A111" s="14"/>
      <c r="B111" s="25"/>
      <c r="C111" s="25"/>
      <c r="D111" s="15"/>
      <c r="E111" s="15"/>
      <c r="F111" s="26">
        <f>IFERROR(VLOOKUP(L111,CARTON_LOOKUP!$A:$E,3,0),"")</f>
      </c>
      <c r="G111" s="26">
        <f>IFERROR(VLOOKUP(L111,CARTON_LOOKUP!$A:$E,4,0),"")</f>
      </c>
      <c r="H111" s="26">
        <f>IFERROR(VLOOKUP(L111,CARTON_LOOKUP!$A:$E,5,0),"")</f>
      </c>
      <c r="I111" s="27">
        <f>IFERROR(VLOOKUP(L111,CARTON_LOOKUP!$A:$E,2,0),"")</f>
      </c>
      <c r="J111" s="15" t="s">
        <v>54</v>
      </c>
      <c r="K111" s="28">
        <v>0.21</v>
      </c>
      <c r="L111" s="15" t="s">
        <v>34</v>
      </c>
      <c r="M111" s="15" t="s">
        <v>101</v>
      </c>
      <c r="N111" s="15" t="s">
        <v>102</v>
      </c>
      <c r="O111" s="15" t="s">
        <v>103</v>
      </c>
      <c r="P111" s="15" t="s">
        <v>104</v>
      </c>
      <c r="Q111" s="15"/>
    </row>
    <row r="112" spans="1:17" x14ac:dyDescent="0.25">
      <c r="A112" s="14"/>
      <c r="B112" s="25"/>
      <c r="C112" s="25"/>
      <c r="D112" s="15"/>
      <c r="E112" s="15"/>
      <c r="F112" s="26">
        <f>IFERROR(VLOOKUP(L112,CARTON_LOOKUP!$A:$E,3,0),"")</f>
      </c>
      <c r="G112" s="26">
        <f>IFERROR(VLOOKUP(L112,CARTON_LOOKUP!$A:$E,4,0),"")</f>
      </c>
      <c r="H112" s="26">
        <f>IFERROR(VLOOKUP(L112,CARTON_LOOKUP!$A:$E,5,0),"")</f>
      </c>
      <c r="I112" s="27">
        <f>IFERROR(VLOOKUP(L112,CARTON_LOOKUP!$A:$E,2,0),"")</f>
      </c>
      <c r="J112" s="15" t="s">
        <v>54</v>
      </c>
      <c r="K112" s="28">
        <v>0.21</v>
      </c>
      <c r="L112" s="15" t="s">
        <v>34</v>
      </c>
      <c r="M112" s="15" t="s">
        <v>101</v>
      </c>
      <c r="N112" s="15" t="s">
        <v>102</v>
      </c>
      <c r="O112" s="15" t="s">
        <v>103</v>
      </c>
      <c r="P112" s="15" t="s">
        <v>104</v>
      </c>
      <c r="Q112" s="15"/>
    </row>
    <row r="113" spans="1:17" x14ac:dyDescent="0.25">
      <c r="A113" s="14"/>
      <c r="B113" s="25"/>
      <c r="C113" s="25"/>
      <c r="D113" s="15"/>
      <c r="E113" s="15"/>
      <c r="F113" s="26">
        <f>IFERROR(VLOOKUP(L113,CARTON_LOOKUP!$A:$E,3,0),"")</f>
      </c>
      <c r="G113" s="26">
        <f>IFERROR(VLOOKUP(L113,CARTON_LOOKUP!$A:$E,4,0),"")</f>
      </c>
      <c r="H113" s="26">
        <f>IFERROR(VLOOKUP(L113,CARTON_LOOKUP!$A:$E,5,0),"")</f>
      </c>
      <c r="I113" s="27">
        <f>IFERROR(VLOOKUP(L113,CARTON_LOOKUP!$A:$E,2,0),"")</f>
      </c>
      <c r="J113" s="15" t="s">
        <v>54</v>
      </c>
      <c r="K113" s="28">
        <v>0.21</v>
      </c>
      <c r="L113" s="15" t="s">
        <v>34</v>
      </c>
      <c r="M113" s="15" t="s">
        <v>101</v>
      </c>
      <c r="N113" s="15" t="s">
        <v>102</v>
      </c>
      <c r="O113" s="15" t="s">
        <v>103</v>
      </c>
      <c r="P113" s="15" t="s">
        <v>104</v>
      </c>
      <c r="Q113" s="15"/>
    </row>
    <row r="114" spans="1:17" x14ac:dyDescent="0.25">
      <c r="A114" s="14"/>
      <c r="B114" s="25"/>
      <c r="C114" s="25"/>
      <c r="D114" s="15"/>
      <c r="E114" s="15"/>
      <c r="F114" s="26">
        <f>IFERROR(VLOOKUP(L114,CARTON_LOOKUP!$A:$E,3,0),"")</f>
      </c>
      <c r="G114" s="26">
        <f>IFERROR(VLOOKUP(L114,CARTON_LOOKUP!$A:$E,4,0),"")</f>
      </c>
      <c r="H114" s="26">
        <f>IFERROR(VLOOKUP(L114,CARTON_LOOKUP!$A:$E,5,0),"")</f>
      </c>
      <c r="I114" s="27">
        <f>IFERROR(VLOOKUP(L114,CARTON_LOOKUP!$A:$E,2,0),"")</f>
      </c>
      <c r="J114" s="15" t="s">
        <v>54</v>
      </c>
      <c r="K114" s="28">
        <v>0.21</v>
      </c>
      <c r="L114" s="15" t="s">
        <v>34</v>
      </c>
      <c r="M114" s="15" t="s">
        <v>101</v>
      </c>
      <c r="N114" s="15" t="s">
        <v>102</v>
      </c>
      <c r="O114" s="15" t="s">
        <v>103</v>
      </c>
      <c r="P114" s="15" t="s">
        <v>104</v>
      </c>
      <c r="Q114" s="15"/>
    </row>
    <row r="115" spans="1:17" x14ac:dyDescent="0.25">
      <c r="A115" s="14"/>
      <c r="B115" s="25"/>
      <c r="C115" s="25"/>
      <c r="D115" s="15"/>
      <c r="E115" s="15"/>
      <c r="F115" s="26">
        <f>IFERROR(VLOOKUP(L115,CARTON_LOOKUP!$A:$E,3,0),"")</f>
      </c>
      <c r="G115" s="26">
        <f>IFERROR(VLOOKUP(L115,CARTON_LOOKUP!$A:$E,4,0),"")</f>
      </c>
      <c r="H115" s="26">
        <f>IFERROR(VLOOKUP(L115,CARTON_LOOKUP!$A:$E,5,0),"")</f>
      </c>
      <c r="I115" s="27">
        <f>IFERROR(VLOOKUP(L115,CARTON_LOOKUP!$A:$E,2,0),"")</f>
      </c>
      <c r="J115" s="15" t="s">
        <v>54</v>
      </c>
      <c r="K115" s="28">
        <v>0.21</v>
      </c>
      <c r="L115" s="15" t="s">
        <v>34</v>
      </c>
      <c r="M115" s="15" t="s">
        <v>101</v>
      </c>
      <c r="N115" s="15" t="s">
        <v>102</v>
      </c>
      <c r="O115" s="15" t="s">
        <v>103</v>
      </c>
      <c r="P115" s="15" t="s">
        <v>104</v>
      </c>
      <c r="Q115" s="15"/>
    </row>
    <row r="116" spans="1:17" x14ac:dyDescent="0.25">
      <c r="A116" s="14"/>
      <c r="B116" s="25"/>
      <c r="C116" s="25"/>
      <c r="D116" s="15"/>
      <c r="E116" s="15"/>
      <c r="F116" s="26">
        <f>IFERROR(VLOOKUP(L116,CARTON_LOOKUP!$A:$E,3,0),"")</f>
      </c>
      <c r="G116" s="26">
        <f>IFERROR(VLOOKUP(L116,CARTON_LOOKUP!$A:$E,4,0),"")</f>
      </c>
      <c r="H116" s="26">
        <f>IFERROR(VLOOKUP(L116,CARTON_LOOKUP!$A:$E,5,0),"")</f>
      </c>
      <c r="I116" s="27">
        <f>IFERROR(VLOOKUP(L116,CARTON_LOOKUP!$A:$E,2,0),"")</f>
      </c>
      <c r="J116" s="15" t="s">
        <v>54</v>
      </c>
      <c r="K116" s="28">
        <v>0.21</v>
      </c>
      <c r="L116" s="15" t="s">
        <v>34</v>
      </c>
      <c r="M116" s="15" t="s">
        <v>101</v>
      </c>
      <c r="N116" s="15" t="s">
        <v>102</v>
      </c>
      <c r="O116" s="15" t="s">
        <v>103</v>
      </c>
      <c r="P116" s="15" t="s">
        <v>104</v>
      </c>
      <c r="Q116" s="15"/>
    </row>
    <row r="117" spans="1:17" x14ac:dyDescent="0.25">
      <c r="A117" s="14"/>
      <c r="B117" s="25"/>
      <c r="C117" s="25"/>
      <c r="D117" s="15"/>
      <c r="E117" s="15"/>
      <c r="F117" s="26">
        <f>IFERROR(VLOOKUP(L117,CARTON_LOOKUP!$A:$E,3,0),"")</f>
      </c>
      <c r="G117" s="26">
        <f>IFERROR(VLOOKUP(L117,CARTON_LOOKUP!$A:$E,4,0),"")</f>
      </c>
      <c r="H117" s="26">
        <f>IFERROR(VLOOKUP(L117,CARTON_LOOKUP!$A:$E,5,0),"")</f>
      </c>
      <c r="I117" s="27">
        <f>IFERROR(VLOOKUP(L117,CARTON_LOOKUP!$A:$E,2,0),"")</f>
      </c>
      <c r="J117" s="15" t="s">
        <v>54</v>
      </c>
      <c r="K117" s="28">
        <v>0.21</v>
      </c>
      <c r="L117" s="15" t="s">
        <v>34</v>
      </c>
      <c r="M117" s="15" t="s">
        <v>101</v>
      </c>
      <c r="N117" s="15" t="s">
        <v>102</v>
      </c>
      <c r="O117" s="15" t="s">
        <v>103</v>
      </c>
      <c r="P117" s="15" t="s">
        <v>104</v>
      </c>
      <c r="Q117" s="15"/>
    </row>
    <row r="118" spans="1:17" x14ac:dyDescent="0.25">
      <c r="A118" s="14"/>
      <c r="B118" s="25"/>
      <c r="C118" s="25"/>
      <c r="D118" s="15"/>
      <c r="E118" s="15"/>
      <c r="F118" s="26">
        <f>IFERROR(VLOOKUP(L118,CARTON_LOOKUP!$A:$E,3,0),"")</f>
      </c>
      <c r="G118" s="26">
        <f>IFERROR(VLOOKUP(L118,CARTON_LOOKUP!$A:$E,4,0),"")</f>
      </c>
      <c r="H118" s="26">
        <f>IFERROR(VLOOKUP(L118,CARTON_LOOKUP!$A:$E,5,0),"")</f>
      </c>
      <c r="I118" s="27">
        <f>IFERROR(VLOOKUP(L118,CARTON_LOOKUP!$A:$E,2,0),"")</f>
      </c>
      <c r="J118" s="15" t="s">
        <v>54</v>
      </c>
      <c r="K118" s="28">
        <v>0.21</v>
      </c>
      <c r="L118" s="15" t="s">
        <v>34</v>
      </c>
      <c r="M118" s="15" t="s">
        <v>101</v>
      </c>
      <c r="N118" s="15" t="s">
        <v>102</v>
      </c>
      <c r="O118" s="15" t="s">
        <v>103</v>
      </c>
      <c r="P118" s="15" t="s">
        <v>104</v>
      </c>
      <c r="Q118" s="15"/>
    </row>
    <row r="119" spans="1:17" x14ac:dyDescent="0.25">
      <c r="A119" s="14"/>
      <c r="B119" s="25"/>
      <c r="C119" s="25"/>
      <c r="D119" s="15"/>
      <c r="E119" s="15"/>
      <c r="F119" s="26">
        <f>IFERROR(VLOOKUP(L119,CARTON_LOOKUP!$A:$E,3,0),"")</f>
      </c>
      <c r="G119" s="26">
        <f>IFERROR(VLOOKUP(L119,CARTON_LOOKUP!$A:$E,4,0),"")</f>
      </c>
      <c r="H119" s="26">
        <f>IFERROR(VLOOKUP(L119,CARTON_LOOKUP!$A:$E,5,0),"")</f>
      </c>
      <c r="I119" s="27">
        <f>IFERROR(VLOOKUP(L119,CARTON_LOOKUP!$A:$E,2,0),"")</f>
      </c>
      <c r="J119" s="15" t="s">
        <v>54</v>
      </c>
      <c r="K119" s="28">
        <v>0.21</v>
      </c>
      <c r="L119" s="15" t="s">
        <v>34</v>
      </c>
      <c r="M119" s="15" t="s">
        <v>101</v>
      </c>
      <c r="N119" s="15" t="s">
        <v>102</v>
      </c>
      <c r="O119" s="15" t="s">
        <v>103</v>
      </c>
      <c r="P119" s="15" t="s">
        <v>104</v>
      </c>
      <c r="Q119" s="15"/>
    </row>
    <row r="120" spans="1:17" x14ac:dyDescent="0.25">
      <c r="A120" s="14"/>
      <c r="B120" s="25"/>
      <c r="C120" s="25"/>
      <c r="D120" s="15"/>
      <c r="E120" s="15"/>
      <c r="F120" s="26">
        <f>IFERROR(VLOOKUP(L120,CARTON_LOOKUP!$A:$E,3,0),"")</f>
      </c>
      <c r="G120" s="26">
        <f>IFERROR(VLOOKUP(L120,CARTON_LOOKUP!$A:$E,4,0),"")</f>
      </c>
      <c r="H120" s="26">
        <f>IFERROR(VLOOKUP(L120,CARTON_LOOKUP!$A:$E,5,0),"")</f>
      </c>
      <c r="I120" s="27">
        <f>IFERROR(VLOOKUP(L120,CARTON_LOOKUP!$A:$E,2,0),"")</f>
      </c>
      <c r="J120" s="15" t="s">
        <v>54</v>
      </c>
      <c r="K120" s="28">
        <v>0.21</v>
      </c>
      <c r="L120" s="15" t="s">
        <v>34</v>
      </c>
      <c r="M120" s="15" t="s">
        <v>101</v>
      </c>
      <c r="N120" s="15" t="s">
        <v>102</v>
      </c>
      <c r="O120" s="15" t="s">
        <v>103</v>
      </c>
      <c r="P120" s="15" t="s">
        <v>104</v>
      </c>
      <c r="Q120" s="15"/>
    </row>
    <row r="121" spans="1:17" x14ac:dyDescent="0.25">
      <c r="A121" s="14"/>
      <c r="B121" s="25"/>
      <c r="C121" s="25"/>
      <c r="D121" s="15"/>
      <c r="E121" s="15"/>
      <c r="F121" s="26">
        <f>IFERROR(VLOOKUP(L121,CARTON_LOOKUP!$A:$E,3,0),"")</f>
      </c>
      <c r="G121" s="26">
        <f>IFERROR(VLOOKUP(L121,CARTON_LOOKUP!$A:$E,4,0),"")</f>
      </c>
      <c r="H121" s="26">
        <f>IFERROR(VLOOKUP(L121,CARTON_LOOKUP!$A:$E,5,0),"")</f>
      </c>
      <c r="I121" s="27">
        <f>IFERROR(VLOOKUP(L121,CARTON_LOOKUP!$A:$E,2,0),"")</f>
      </c>
      <c r="J121" s="15" t="s">
        <v>54</v>
      </c>
      <c r="K121" s="28">
        <v>0.21</v>
      </c>
      <c r="L121" s="15" t="s">
        <v>34</v>
      </c>
      <c r="M121" s="15" t="s">
        <v>101</v>
      </c>
      <c r="N121" s="15" t="s">
        <v>102</v>
      </c>
      <c r="O121" s="15" t="s">
        <v>103</v>
      </c>
      <c r="P121" s="15" t="s">
        <v>104</v>
      </c>
      <c r="Q121" s="15"/>
    </row>
    <row r="122" spans="1:17" x14ac:dyDescent="0.25">
      <c r="A122" s="14"/>
      <c r="B122" s="25"/>
      <c r="C122" s="25"/>
      <c r="D122" s="15"/>
      <c r="E122" s="15"/>
      <c r="F122" s="26">
        <f>IFERROR(VLOOKUP(L122,CARTON_LOOKUP!$A:$E,3,0),"")</f>
      </c>
      <c r="G122" s="26">
        <f>IFERROR(VLOOKUP(L122,CARTON_LOOKUP!$A:$E,4,0),"")</f>
      </c>
      <c r="H122" s="26">
        <f>IFERROR(VLOOKUP(L122,CARTON_LOOKUP!$A:$E,5,0),"")</f>
      </c>
      <c r="I122" s="27">
        <f>IFERROR(VLOOKUP(L122,CARTON_LOOKUP!$A:$E,2,0),"")</f>
      </c>
      <c r="J122" s="15" t="s">
        <v>54</v>
      </c>
      <c r="K122" s="28">
        <v>0.21</v>
      </c>
      <c r="L122" s="15" t="s">
        <v>34</v>
      </c>
      <c r="M122" s="15" t="s">
        <v>101</v>
      </c>
      <c r="N122" s="15" t="s">
        <v>102</v>
      </c>
      <c r="O122" s="15" t="s">
        <v>103</v>
      </c>
      <c r="P122" s="15" t="s">
        <v>104</v>
      </c>
      <c r="Q122" s="15"/>
    </row>
    <row r="123" spans="1:17" x14ac:dyDescent="0.25">
      <c r="A123" s="14"/>
      <c r="B123" s="25"/>
      <c r="C123" s="25"/>
      <c r="D123" s="15"/>
      <c r="E123" s="15"/>
      <c r="F123" s="26">
        <f>IFERROR(VLOOKUP(L123,CARTON_LOOKUP!$A:$E,3,0),"")</f>
      </c>
      <c r="G123" s="26">
        <f>IFERROR(VLOOKUP(L123,CARTON_LOOKUP!$A:$E,4,0),"")</f>
      </c>
      <c r="H123" s="26">
        <f>IFERROR(VLOOKUP(L123,CARTON_LOOKUP!$A:$E,5,0),"")</f>
      </c>
      <c r="I123" s="27">
        <f>IFERROR(VLOOKUP(L123,CARTON_LOOKUP!$A:$E,2,0),"")</f>
      </c>
      <c r="J123" s="15" t="s">
        <v>54</v>
      </c>
      <c r="K123" s="28">
        <v>0.21</v>
      </c>
      <c r="L123" s="15" t="s">
        <v>34</v>
      </c>
      <c r="M123" s="15" t="s">
        <v>101</v>
      </c>
      <c r="N123" s="15" t="s">
        <v>102</v>
      </c>
      <c r="O123" s="15" t="s">
        <v>103</v>
      </c>
      <c r="P123" s="15" t="s">
        <v>104</v>
      </c>
      <c r="Q123" s="15"/>
    </row>
    <row r="124" spans="1:17" x14ac:dyDescent="0.25">
      <c r="A124" s="14"/>
      <c r="B124" s="25"/>
      <c r="C124" s="25"/>
      <c r="D124" s="15"/>
      <c r="E124" s="15"/>
      <c r="F124" s="26">
        <f>IFERROR(VLOOKUP(L124,CARTON_LOOKUP!$A:$E,3,0),"")</f>
      </c>
      <c r="G124" s="26">
        <f>IFERROR(VLOOKUP(L124,CARTON_LOOKUP!$A:$E,4,0),"")</f>
      </c>
      <c r="H124" s="26">
        <f>IFERROR(VLOOKUP(L124,CARTON_LOOKUP!$A:$E,5,0),"")</f>
      </c>
      <c r="I124" s="27">
        <f>IFERROR(VLOOKUP(L124,CARTON_LOOKUP!$A:$E,2,0),"")</f>
      </c>
      <c r="J124" s="15" t="s">
        <v>54</v>
      </c>
      <c r="K124" s="28">
        <v>0.21</v>
      </c>
      <c r="L124" s="15" t="s">
        <v>34</v>
      </c>
      <c r="M124" s="15" t="s">
        <v>101</v>
      </c>
      <c r="N124" s="15" t="s">
        <v>102</v>
      </c>
      <c r="O124" s="15" t="s">
        <v>103</v>
      </c>
      <c r="P124" s="15" t="s">
        <v>104</v>
      </c>
      <c r="Q124" s="15"/>
    </row>
    <row r="125" spans="1:17" x14ac:dyDescent="0.25">
      <c r="A125" s="14"/>
      <c r="B125" s="25"/>
      <c r="C125" s="25"/>
      <c r="D125" s="15"/>
      <c r="E125" s="15"/>
      <c r="F125" s="26">
        <f>IFERROR(VLOOKUP(L125,CARTON_LOOKUP!$A:$E,3,0),"")</f>
      </c>
      <c r="G125" s="26">
        <f>IFERROR(VLOOKUP(L125,CARTON_LOOKUP!$A:$E,4,0),"")</f>
      </c>
      <c r="H125" s="26">
        <f>IFERROR(VLOOKUP(L125,CARTON_LOOKUP!$A:$E,5,0),"")</f>
      </c>
      <c r="I125" s="27">
        <f>IFERROR(VLOOKUP(L125,CARTON_LOOKUP!$A:$E,2,0),"")</f>
      </c>
      <c r="J125" s="15" t="s">
        <v>54</v>
      </c>
      <c r="K125" s="28">
        <v>0.21</v>
      </c>
      <c r="L125" s="15" t="s">
        <v>34</v>
      </c>
      <c r="M125" s="15" t="s">
        <v>101</v>
      </c>
      <c r="N125" s="15" t="s">
        <v>102</v>
      </c>
      <c r="O125" s="15" t="s">
        <v>103</v>
      </c>
      <c r="P125" s="15" t="s">
        <v>104</v>
      </c>
      <c r="Q125" s="15"/>
    </row>
    <row r="126" spans="1:17" x14ac:dyDescent="0.25">
      <c r="A126" s="14"/>
      <c r="B126" s="25"/>
      <c r="C126" s="25"/>
      <c r="D126" s="15"/>
      <c r="E126" s="15"/>
      <c r="F126" s="26">
        <f>IFERROR(VLOOKUP(L126,CARTON_LOOKUP!$A:$E,3,0),"")</f>
      </c>
      <c r="G126" s="26">
        <f>IFERROR(VLOOKUP(L126,CARTON_LOOKUP!$A:$E,4,0),"")</f>
      </c>
      <c r="H126" s="26">
        <f>IFERROR(VLOOKUP(L126,CARTON_LOOKUP!$A:$E,5,0),"")</f>
      </c>
      <c r="I126" s="27">
        <f>IFERROR(VLOOKUP(L126,CARTON_LOOKUP!$A:$E,2,0),"")</f>
      </c>
      <c r="J126" s="15" t="s">
        <v>54</v>
      </c>
      <c r="K126" s="28">
        <v>0.21</v>
      </c>
      <c r="L126" s="15" t="s">
        <v>34</v>
      </c>
      <c r="M126" s="15" t="s">
        <v>101</v>
      </c>
      <c r="N126" s="15" t="s">
        <v>102</v>
      </c>
      <c r="O126" s="15" t="s">
        <v>103</v>
      </c>
      <c r="P126" s="15" t="s">
        <v>104</v>
      </c>
      <c r="Q126" s="15"/>
    </row>
    <row r="127" spans="1:17" x14ac:dyDescent="0.25">
      <c r="A127" s="14"/>
      <c r="B127" s="25"/>
      <c r="C127" s="25"/>
      <c r="D127" s="15"/>
      <c r="E127" s="15"/>
      <c r="F127" s="26">
        <f>IFERROR(VLOOKUP(L127,CARTON_LOOKUP!$A:$E,3,0),"")</f>
      </c>
      <c r="G127" s="26">
        <f>IFERROR(VLOOKUP(L127,CARTON_LOOKUP!$A:$E,4,0),"")</f>
      </c>
      <c r="H127" s="26">
        <f>IFERROR(VLOOKUP(L127,CARTON_LOOKUP!$A:$E,5,0),"")</f>
      </c>
      <c r="I127" s="27">
        <f>IFERROR(VLOOKUP(L127,CARTON_LOOKUP!$A:$E,2,0),"")</f>
      </c>
      <c r="J127" s="15" t="s">
        <v>54</v>
      </c>
      <c r="K127" s="28">
        <v>0.21</v>
      </c>
      <c r="L127" s="15" t="s">
        <v>34</v>
      </c>
      <c r="M127" s="15" t="s">
        <v>101</v>
      </c>
      <c r="N127" s="15" t="s">
        <v>102</v>
      </c>
      <c r="O127" s="15" t="s">
        <v>103</v>
      </c>
      <c r="P127" s="15" t="s">
        <v>104</v>
      </c>
      <c r="Q127" s="15"/>
    </row>
    <row r="128" spans="1:17" x14ac:dyDescent="0.25">
      <c r="A128" s="14"/>
      <c r="B128" s="25"/>
      <c r="C128" s="25"/>
      <c r="D128" s="15"/>
      <c r="E128" s="15"/>
      <c r="F128" s="26">
        <f>IFERROR(VLOOKUP(L128,CARTON_LOOKUP!$A:$E,3,0),"")</f>
      </c>
      <c r="G128" s="26">
        <f>IFERROR(VLOOKUP(L128,CARTON_LOOKUP!$A:$E,4,0),"")</f>
      </c>
      <c r="H128" s="26">
        <f>IFERROR(VLOOKUP(L128,CARTON_LOOKUP!$A:$E,5,0),"")</f>
      </c>
      <c r="I128" s="27">
        <f>IFERROR(VLOOKUP(L128,CARTON_LOOKUP!$A:$E,2,0),"")</f>
      </c>
      <c r="J128" s="15" t="s">
        <v>54</v>
      </c>
      <c r="K128" s="28">
        <v>0.21</v>
      </c>
      <c r="L128" s="15" t="s">
        <v>34</v>
      </c>
      <c r="M128" s="15" t="s">
        <v>101</v>
      </c>
      <c r="N128" s="15" t="s">
        <v>102</v>
      </c>
      <c r="O128" s="15" t="s">
        <v>103</v>
      </c>
      <c r="P128" s="15" t="s">
        <v>104</v>
      </c>
      <c r="Q128" s="15"/>
    </row>
    <row r="129" spans="1:17" x14ac:dyDescent="0.25">
      <c r="A129" s="14"/>
      <c r="B129" s="25"/>
      <c r="C129" s="25"/>
      <c r="D129" s="15"/>
      <c r="E129" s="15"/>
      <c r="F129" s="26">
        <f>IFERROR(VLOOKUP(L129,CARTON_LOOKUP!$A:$E,3,0),"")</f>
      </c>
      <c r="G129" s="26">
        <f>IFERROR(VLOOKUP(L129,CARTON_LOOKUP!$A:$E,4,0),"")</f>
      </c>
      <c r="H129" s="26">
        <f>IFERROR(VLOOKUP(L129,CARTON_LOOKUP!$A:$E,5,0),"")</f>
      </c>
      <c r="I129" s="27">
        <f>IFERROR(VLOOKUP(L129,CARTON_LOOKUP!$A:$E,2,0),"")</f>
      </c>
      <c r="J129" s="15" t="s">
        <v>54</v>
      </c>
      <c r="K129" s="28">
        <v>0.21</v>
      </c>
      <c r="L129" s="15" t="s">
        <v>34</v>
      </c>
      <c r="M129" s="15" t="s">
        <v>101</v>
      </c>
      <c r="N129" s="15" t="s">
        <v>102</v>
      </c>
      <c r="O129" s="15" t="s">
        <v>103</v>
      </c>
      <c r="P129" s="15" t="s">
        <v>104</v>
      </c>
      <c r="Q129" s="15"/>
    </row>
    <row r="130" spans="1:17" x14ac:dyDescent="0.25">
      <c r="A130" s="14"/>
      <c r="B130" s="25"/>
      <c r="C130" s="25"/>
      <c r="D130" s="15"/>
      <c r="E130" s="15"/>
      <c r="F130" s="26">
        <f>IFERROR(VLOOKUP(L130,CARTON_LOOKUP!$A:$E,3,0),"")</f>
      </c>
      <c r="G130" s="26">
        <f>IFERROR(VLOOKUP(L130,CARTON_LOOKUP!$A:$E,4,0),"")</f>
      </c>
      <c r="H130" s="26">
        <f>IFERROR(VLOOKUP(L130,CARTON_LOOKUP!$A:$E,5,0),"")</f>
      </c>
      <c r="I130" s="27">
        <f>IFERROR(VLOOKUP(L130,CARTON_LOOKUP!$A:$E,2,0),"")</f>
      </c>
      <c r="J130" s="15" t="s">
        <v>54</v>
      </c>
      <c r="K130" s="28">
        <v>0.21</v>
      </c>
      <c r="L130" s="15" t="s">
        <v>34</v>
      </c>
      <c r="M130" s="15" t="s">
        <v>101</v>
      </c>
      <c r="N130" s="15" t="s">
        <v>102</v>
      </c>
      <c r="O130" s="15" t="s">
        <v>103</v>
      </c>
      <c r="P130" s="15" t="s">
        <v>104</v>
      </c>
      <c r="Q130" s="15"/>
    </row>
    <row r="131" spans="1:17" x14ac:dyDescent="0.25">
      <c r="A131" s="14"/>
      <c r="B131" s="25"/>
      <c r="C131" s="25"/>
      <c r="D131" s="15"/>
      <c r="E131" s="15"/>
      <c r="F131" s="26">
        <f>IFERROR(VLOOKUP(L131,CARTON_LOOKUP!$A:$E,3,0),"")</f>
      </c>
      <c r="G131" s="26">
        <f>IFERROR(VLOOKUP(L131,CARTON_LOOKUP!$A:$E,4,0),"")</f>
      </c>
      <c r="H131" s="26">
        <f>IFERROR(VLOOKUP(L131,CARTON_LOOKUP!$A:$E,5,0),"")</f>
      </c>
      <c r="I131" s="27">
        <f>IFERROR(VLOOKUP(L131,CARTON_LOOKUP!$A:$E,2,0),"")</f>
      </c>
      <c r="J131" s="15" t="s">
        <v>54</v>
      </c>
      <c r="K131" s="28">
        <v>0.21</v>
      </c>
      <c r="L131" s="15" t="s">
        <v>34</v>
      </c>
      <c r="M131" s="15" t="s">
        <v>101</v>
      </c>
      <c r="N131" s="15" t="s">
        <v>102</v>
      </c>
      <c r="O131" s="15" t="s">
        <v>103</v>
      </c>
      <c r="P131" s="15" t="s">
        <v>104</v>
      </c>
      <c r="Q131" s="15"/>
    </row>
    <row r="132" spans="1:17" x14ac:dyDescent="0.25">
      <c r="A132" s="14"/>
      <c r="B132" s="25"/>
      <c r="C132" s="25"/>
      <c r="D132" s="15"/>
      <c r="E132" s="15"/>
      <c r="F132" s="26">
        <f>IFERROR(VLOOKUP(L132,CARTON_LOOKUP!$A:$E,3,0),"")</f>
      </c>
      <c r="G132" s="26">
        <f>IFERROR(VLOOKUP(L132,CARTON_LOOKUP!$A:$E,4,0),"")</f>
      </c>
      <c r="H132" s="26">
        <f>IFERROR(VLOOKUP(L132,CARTON_LOOKUP!$A:$E,5,0),"")</f>
      </c>
      <c r="I132" s="27">
        <f>IFERROR(VLOOKUP(L132,CARTON_LOOKUP!$A:$E,2,0),"")</f>
      </c>
      <c r="J132" s="15" t="s">
        <v>54</v>
      </c>
      <c r="K132" s="28">
        <v>0.21</v>
      </c>
      <c r="L132" s="15" t="s">
        <v>34</v>
      </c>
      <c r="M132" s="15" t="s">
        <v>101</v>
      </c>
      <c r="N132" s="15" t="s">
        <v>102</v>
      </c>
      <c r="O132" s="15" t="s">
        <v>103</v>
      </c>
      <c r="P132" s="15" t="s">
        <v>104</v>
      </c>
      <c r="Q132" s="15"/>
    </row>
    <row r="133" spans="1:17" x14ac:dyDescent="0.25">
      <c r="A133" s="14"/>
      <c r="B133" s="25"/>
      <c r="C133" s="25"/>
      <c r="D133" s="15"/>
      <c r="E133" s="15"/>
      <c r="F133" s="26">
        <f>IFERROR(VLOOKUP(L133,CARTON_LOOKUP!$A:$E,3,0),"")</f>
      </c>
      <c r="G133" s="26">
        <f>IFERROR(VLOOKUP(L133,CARTON_LOOKUP!$A:$E,4,0),"")</f>
      </c>
      <c r="H133" s="26">
        <f>IFERROR(VLOOKUP(L133,CARTON_LOOKUP!$A:$E,5,0),"")</f>
      </c>
      <c r="I133" s="27">
        <f>IFERROR(VLOOKUP(L133,CARTON_LOOKUP!$A:$E,2,0),"")</f>
      </c>
      <c r="J133" s="15" t="s">
        <v>54</v>
      </c>
      <c r="K133" s="28">
        <v>0.21</v>
      </c>
      <c r="L133" s="15" t="s">
        <v>34</v>
      </c>
      <c r="M133" s="15" t="s">
        <v>101</v>
      </c>
      <c r="N133" s="15" t="s">
        <v>102</v>
      </c>
      <c r="O133" s="15" t="s">
        <v>103</v>
      </c>
      <c r="P133" s="15" t="s">
        <v>104</v>
      </c>
      <c r="Q133" s="15"/>
    </row>
    <row r="134" spans="1:17" x14ac:dyDescent="0.25">
      <c r="A134" s="14"/>
      <c r="B134" s="25"/>
      <c r="C134" s="25"/>
      <c r="D134" s="15"/>
      <c r="E134" s="15"/>
      <c r="F134" s="26">
        <f>IFERROR(VLOOKUP(L134,CARTON_LOOKUP!$A:$E,3,0),"")</f>
      </c>
      <c r="G134" s="26">
        <f>IFERROR(VLOOKUP(L134,CARTON_LOOKUP!$A:$E,4,0),"")</f>
      </c>
      <c r="H134" s="26">
        <f>IFERROR(VLOOKUP(L134,CARTON_LOOKUP!$A:$E,5,0),"")</f>
      </c>
      <c r="I134" s="27">
        <f>IFERROR(VLOOKUP(L134,CARTON_LOOKUP!$A:$E,2,0),"")</f>
      </c>
      <c r="J134" s="15" t="s">
        <v>54</v>
      </c>
      <c r="K134" s="28">
        <v>0.21</v>
      </c>
      <c r="L134" s="15" t="s">
        <v>34</v>
      </c>
      <c r="M134" s="15" t="s">
        <v>101</v>
      </c>
      <c r="N134" s="15" t="s">
        <v>102</v>
      </c>
      <c r="O134" s="15" t="s">
        <v>103</v>
      </c>
      <c r="P134" s="15" t="s">
        <v>104</v>
      </c>
      <c r="Q134" s="15"/>
    </row>
    <row r="135" spans="1:17" x14ac:dyDescent="0.25">
      <c r="A135" s="14"/>
      <c r="B135" s="25"/>
      <c r="C135" s="25"/>
      <c r="D135" s="15"/>
      <c r="E135" s="15"/>
      <c r="F135" s="26">
        <f>IFERROR(VLOOKUP(L135,CARTON_LOOKUP!$A:$E,3,0),"")</f>
      </c>
      <c r="G135" s="26">
        <f>IFERROR(VLOOKUP(L135,CARTON_LOOKUP!$A:$E,4,0),"")</f>
      </c>
      <c r="H135" s="26">
        <f>IFERROR(VLOOKUP(L135,CARTON_LOOKUP!$A:$E,5,0),"")</f>
      </c>
      <c r="I135" s="27">
        <f>IFERROR(VLOOKUP(L135,CARTON_LOOKUP!$A:$E,2,0),"")</f>
      </c>
      <c r="J135" s="15" t="s">
        <v>54</v>
      </c>
      <c r="K135" s="28">
        <v>0.21</v>
      </c>
      <c r="L135" s="15" t="s">
        <v>34</v>
      </c>
      <c r="M135" s="15" t="s">
        <v>101</v>
      </c>
      <c r="N135" s="15" t="s">
        <v>102</v>
      </c>
      <c r="O135" s="15" t="s">
        <v>103</v>
      </c>
      <c r="P135" s="15" t="s">
        <v>104</v>
      </c>
      <c r="Q135" s="15"/>
    </row>
    <row r="136" spans="1:17" x14ac:dyDescent="0.25">
      <c r="A136" s="14"/>
      <c r="B136" s="25"/>
      <c r="C136" s="25"/>
      <c r="D136" s="15"/>
      <c r="E136" s="15"/>
      <c r="F136" s="26">
        <f>IFERROR(VLOOKUP(L136,CARTON_LOOKUP!$A:$E,3,0),"")</f>
      </c>
      <c r="G136" s="26">
        <f>IFERROR(VLOOKUP(L136,CARTON_LOOKUP!$A:$E,4,0),"")</f>
      </c>
      <c r="H136" s="26">
        <f>IFERROR(VLOOKUP(L136,CARTON_LOOKUP!$A:$E,5,0),"")</f>
      </c>
      <c r="I136" s="27">
        <f>IFERROR(VLOOKUP(L136,CARTON_LOOKUP!$A:$E,2,0),"")</f>
      </c>
      <c r="J136" s="15" t="s">
        <v>54</v>
      </c>
      <c r="K136" s="28">
        <v>0.21</v>
      </c>
      <c r="L136" s="15" t="s">
        <v>34</v>
      </c>
      <c r="M136" s="15" t="s">
        <v>101</v>
      </c>
      <c r="N136" s="15" t="s">
        <v>102</v>
      </c>
      <c r="O136" s="15" t="s">
        <v>103</v>
      </c>
      <c r="P136" s="15" t="s">
        <v>104</v>
      </c>
      <c r="Q136" s="15"/>
    </row>
    <row r="137" spans="1:17" x14ac:dyDescent="0.25">
      <c r="A137" s="14"/>
      <c r="B137" s="25"/>
      <c r="C137" s="25"/>
      <c r="D137" s="15"/>
      <c r="E137" s="15"/>
      <c r="F137" s="26">
        <f>IFERROR(VLOOKUP(L137,CARTON_LOOKUP!$A:$E,3,0),"")</f>
      </c>
      <c r="G137" s="26">
        <f>IFERROR(VLOOKUP(L137,CARTON_LOOKUP!$A:$E,4,0),"")</f>
      </c>
      <c r="H137" s="26">
        <f>IFERROR(VLOOKUP(L137,CARTON_LOOKUP!$A:$E,5,0),"")</f>
      </c>
      <c r="I137" s="27">
        <f>IFERROR(VLOOKUP(L137,CARTON_LOOKUP!$A:$E,2,0),"")</f>
      </c>
      <c r="J137" s="15" t="s">
        <v>54</v>
      </c>
      <c r="K137" s="28">
        <v>0.21</v>
      </c>
      <c r="L137" s="15" t="s">
        <v>34</v>
      </c>
      <c r="M137" s="15" t="s">
        <v>101</v>
      </c>
      <c r="N137" s="15" t="s">
        <v>102</v>
      </c>
      <c r="O137" s="15" t="s">
        <v>103</v>
      </c>
      <c r="P137" s="15" t="s">
        <v>104</v>
      </c>
      <c r="Q137" s="15"/>
    </row>
    <row r="138" spans="1:17" x14ac:dyDescent="0.25">
      <c r="A138" s="14"/>
      <c r="B138" s="25"/>
      <c r="C138" s="25"/>
      <c r="D138" s="15"/>
      <c r="E138" s="15"/>
      <c r="F138" s="26">
        <f>IFERROR(VLOOKUP(L138,CARTON_LOOKUP!$A:$E,3,0),"")</f>
      </c>
      <c r="G138" s="26">
        <f>IFERROR(VLOOKUP(L138,CARTON_LOOKUP!$A:$E,4,0),"")</f>
      </c>
      <c r="H138" s="26">
        <f>IFERROR(VLOOKUP(L138,CARTON_LOOKUP!$A:$E,5,0),"")</f>
      </c>
      <c r="I138" s="27">
        <f>IFERROR(VLOOKUP(L138,CARTON_LOOKUP!$A:$E,2,0),"")</f>
      </c>
      <c r="J138" s="15" t="s">
        <v>54</v>
      </c>
      <c r="K138" s="28">
        <v>0.21</v>
      </c>
      <c r="L138" s="15" t="s">
        <v>34</v>
      </c>
      <c r="M138" s="15" t="s">
        <v>101</v>
      </c>
      <c r="N138" s="15" t="s">
        <v>102</v>
      </c>
      <c r="O138" s="15" t="s">
        <v>103</v>
      </c>
      <c r="P138" s="15" t="s">
        <v>104</v>
      </c>
      <c r="Q138" s="15"/>
    </row>
    <row r="139" spans="1:17" x14ac:dyDescent="0.25">
      <c r="A139" s="14"/>
      <c r="B139" s="25"/>
      <c r="C139" s="25"/>
      <c r="D139" s="15"/>
      <c r="E139" s="15"/>
      <c r="F139" s="26">
        <f>IFERROR(VLOOKUP(L139,CARTON_LOOKUP!$A:$E,3,0),"")</f>
      </c>
      <c r="G139" s="26">
        <f>IFERROR(VLOOKUP(L139,CARTON_LOOKUP!$A:$E,4,0),"")</f>
      </c>
      <c r="H139" s="26">
        <f>IFERROR(VLOOKUP(L139,CARTON_LOOKUP!$A:$E,5,0),"")</f>
      </c>
      <c r="I139" s="27">
        <f>IFERROR(VLOOKUP(L139,CARTON_LOOKUP!$A:$E,2,0),"")</f>
      </c>
      <c r="J139" s="15" t="s">
        <v>54</v>
      </c>
      <c r="K139" s="28">
        <v>0.21</v>
      </c>
      <c r="L139" s="15" t="s">
        <v>34</v>
      </c>
      <c r="M139" s="15" t="s">
        <v>101</v>
      </c>
      <c r="N139" s="15" t="s">
        <v>102</v>
      </c>
      <c r="O139" s="15" t="s">
        <v>103</v>
      </c>
      <c r="P139" s="15" t="s">
        <v>104</v>
      </c>
      <c r="Q139" s="15"/>
    </row>
    <row r="140" spans="1:17" x14ac:dyDescent="0.25">
      <c r="A140" s="14"/>
      <c r="B140" s="25"/>
      <c r="C140" s="25"/>
      <c r="D140" s="15"/>
      <c r="E140" s="15"/>
      <c r="F140" s="26">
        <f>IFERROR(VLOOKUP(L140,CARTON_LOOKUP!$A:$E,3,0),"")</f>
      </c>
      <c r="G140" s="26">
        <f>IFERROR(VLOOKUP(L140,CARTON_LOOKUP!$A:$E,4,0),"")</f>
      </c>
      <c r="H140" s="26">
        <f>IFERROR(VLOOKUP(L140,CARTON_LOOKUP!$A:$E,5,0),"")</f>
      </c>
      <c r="I140" s="27">
        <f>IFERROR(VLOOKUP(L140,CARTON_LOOKUP!$A:$E,2,0),"")</f>
      </c>
      <c r="J140" s="15" t="s">
        <v>54</v>
      </c>
      <c r="K140" s="28">
        <v>0.21</v>
      </c>
      <c r="L140" s="15" t="s">
        <v>34</v>
      </c>
      <c r="M140" s="15" t="s">
        <v>101</v>
      </c>
      <c r="N140" s="15" t="s">
        <v>102</v>
      </c>
      <c r="O140" s="15" t="s">
        <v>103</v>
      </c>
      <c r="P140" s="15" t="s">
        <v>104</v>
      </c>
      <c r="Q140" s="15"/>
    </row>
    <row r="141" spans="1:17" x14ac:dyDescent="0.25">
      <c r="A141" s="14"/>
      <c r="B141" s="25"/>
      <c r="C141" s="25"/>
      <c r="D141" s="15"/>
      <c r="E141" s="15"/>
      <c r="F141" s="26">
        <f>IFERROR(VLOOKUP(L141,CARTON_LOOKUP!$A:$E,3,0),"")</f>
      </c>
      <c r="G141" s="26">
        <f>IFERROR(VLOOKUP(L141,CARTON_LOOKUP!$A:$E,4,0),"")</f>
      </c>
      <c r="H141" s="26">
        <f>IFERROR(VLOOKUP(L141,CARTON_LOOKUP!$A:$E,5,0),"")</f>
      </c>
      <c r="I141" s="27">
        <f>IFERROR(VLOOKUP(L141,CARTON_LOOKUP!$A:$E,2,0),"")</f>
      </c>
      <c r="J141" s="15" t="s">
        <v>54</v>
      </c>
      <c r="K141" s="28">
        <v>0.21</v>
      </c>
      <c r="L141" s="15" t="s">
        <v>34</v>
      </c>
      <c r="M141" s="15" t="s">
        <v>101</v>
      </c>
      <c r="N141" s="15" t="s">
        <v>102</v>
      </c>
      <c r="O141" s="15" t="s">
        <v>103</v>
      </c>
      <c r="P141" s="15" t="s">
        <v>104</v>
      </c>
      <c r="Q141" s="15"/>
    </row>
    <row r="142" spans="1:17" x14ac:dyDescent="0.25">
      <c r="A142" s="14"/>
      <c r="B142" s="25"/>
      <c r="C142" s="25"/>
      <c r="D142" s="15"/>
      <c r="E142" s="15"/>
      <c r="F142" s="26">
        <f>IFERROR(VLOOKUP(L142,CARTON_LOOKUP!$A:$E,3,0),"")</f>
      </c>
      <c r="G142" s="26">
        <f>IFERROR(VLOOKUP(L142,CARTON_LOOKUP!$A:$E,4,0),"")</f>
      </c>
      <c r="H142" s="26">
        <f>IFERROR(VLOOKUP(L142,CARTON_LOOKUP!$A:$E,5,0),"")</f>
      </c>
      <c r="I142" s="27">
        <f>IFERROR(VLOOKUP(L142,CARTON_LOOKUP!$A:$E,2,0),"")</f>
      </c>
      <c r="J142" s="15" t="s">
        <v>54</v>
      </c>
      <c r="K142" s="28">
        <v>0.21</v>
      </c>
      <c r="L142" s="15" t="s">
        <v>34</v>
      </c>
      <c r="M142" s="15" t="s">
        <v>101</v>
      </c>
      <c r="N142" s="15" t="s">
        <v>102</v>
      </c>
      <c r="O142" s="15" t="s">
        <v>103</v>
      </c>
      <c r="P142" s="15" t="s">
        <v>104</v>
      </c>
      <c r="Q142" s="15"/>
    </row>
    <row r="143" spans="1:17" x14ac:dyDescent="0.25">
      <c r="A143" s="14"/>
      <c r="B143" s="25"/>
      <c r="C143" s="25"/>
      <c r="D143" s="15"/>
      <c r="E143" s="15"/>
      <c r="F143" s="26">
        <f>IFERROR(VLOOKUP(L143,CARTON_LOOKUP!$A:$E,3,0),"")</f>
      </c>
      <c r="G143" s="26">
        <f>IFERROR(VLOOKUP(L143,CARTON_LOOKUP!$A:$E,4,0),"")</f>
      </c>
      <c r="H143" s="26">
        <f>IFERROR(VLOOKUP(L143,CARTON_LOOKUP!$A:$E,5,0),"")</f>
      </c>
      <c r="I143" s="27">
        <f>IFERROR(VLOOKUP(L143,CARTON_LOOKUP!$A:$E,2,0),"")</f>
      </c>
      <c r="J143" s="15" t="s">
        <v>54</v>
      </c>
      <c r="K143" s="28">
        <v>0.21</v>
      </c>
      <c r="L143" s="15" t="s">
        <v>34</v>
      </c>
      <c r="M143" s="15" t="s">
        <v>101</v>
      </c>
      <c r="N143" s="15" t="s">
        <v>102</v>
      </c>
      <c r="O143" s="15" t="s">
        <v>103</v>
      </c>
      <c r="P143" s="15" t="s">
        <v>104</v>
      </c>
      <c r="Q143" s="15"/>
    </row>
    <row r="144" spans="1:17" x14ac:dyDescent="0.25">
      <c r="A144" s="14"/>
      <c r="B144" s="25"/>
      <c r="C144" s="25"/>
      <c r="D144" s="15"/>
      <c r="E144" s="15"/>
      <c r="F144" s="26">
        <f>IFERROR(VLOOKUP(L144,CARTON_LOOKUP!$A:$E,3,0),"")</f>
      </c>
      <c r="G144" s="26">
        <f>IFERROR(VLOOKUP(L144,CARTON_LOOKUP!$A:$E,4,0),"")</f>
      </c>
      <c r="H144" s="26">
        <f>IFERROR(VLOOKUP(L144,CARTON_LOOKUP!$A:$E,5,0),"")</f>
      </c>
      <c r="I144" s="27">
        <f>IFERROR(VLOOKUP(L144,CARTON_LOOKUP!$A:$E,2,0),"")</f>
      </c>
      <c r="J144" s="15" t="s">
        <v>54</v>
      </c>
      <c r="K144" s="28">
        <v>0.21</v>
      </c>
      <c r="L144" s="15" t="s">
        <v>34</v>
      </c>
      <c r="M144" s="15" t="s">
        <v>101</v>
      </c>
      <c r="N144" s="15" t="s">
        <v>102</v>
      </c>
      <c r="O144" s="15" t="s">
        <v>103</v>
      </c>
      <c r="P144" s="15" t="s">
        <v>104</v>
      </c>
      <c r="Q144" s="15"/>
    </row>
    <row r="145" spans="1:17" x14ac:dyDescent="0.25">
      <c r="A145" s="14"/>
      <c r="B145" s="25"/>
      <c r="C145" s="25"/>
      <c r="D145" s="15"/>
      <c r="E145" s="15"/>
      <c r="F145" s="26">
        <f>IFERROR(VLOOKUP(L145,CARTON_LOOKUP!$A:$E,3,0),"")</f>
      </c>
      <c r="G145" s="26">
        <f>IFERROR(VLOOKUP(L145,CARTON_LOOKUP!$A:$E,4,0),"")</f>
      </c>
      <c r="H145" s="26">
        <f>IFERROR(VLOOKUP(L145,CARTON_LOOKUP!$A:$E,5,0),"")</f>
      </c>
      <c r="I145" s="27">
        <f>IFERROR(VLOOKUP(L145,CARTON_LOOKUP!$A:$E,2,0),"")</f>
      </c>
      <c r="J145" s="15" t="s">
        <v>54</v>
      </c>
      <c r="K145" s="28">
        <v>0.21</v>
      </c>
      <c r="L145" s="15" t="s">
        <v>34</v>
      </c>
      <c r="M145" s="15" t="s">
        <v>101</v>
      </c>
      <c r="N145" s="15" t="s">
        <v>102</v>
      </c>
      <c r="O145" s="15" t="s">
        <v>103</v>
      </c>
      <c r="P145" s="15" t="s">
        <v>104</v>
      </c>
      <c r="Q145" s="15"/>
    </row>
    <row r="146" spans="1:17" x14ac:dyDescent="0.25">
      <c r="A146" s="14"/>
      <c r="B146" s="25"/>
      <c r="C146" s="25"/>
      <c r="D146" s="15"/>
      <c r="E146" s="15"/>
      <c r="F146" s="26">
        <f>IFERROR(VLOOKUP(L146,CARTON_LOOKUP!$A:$E,3,0),"")</f>
      </c>
      <c r="G146" s="26">
        <f>IFERROR(VLOOKUP(L146,CARTON_LOOKUP!$A:$E,4,0),"")</f>
      </c>
      <c r="H146" s="26">
        <f>IFERROR(VLOOKUP(L146,CARTON_LOOKUP!$A:$E,5,0),"")</f>
      </c>
      <c r="I146" s="27">
        <f>IFERROR(VLOOKUP(L146,CARTON_LOOKUP!$A:$E,2,0),"")</f>
      </c>
      <c r="J146" s="15" t="s">
        <v>54</v>
      </c>
      <c r="K146" s="28">
        <v>0.21</v>
      </c>
      <c r="L146" s="15" t="s">
        <v>34</v>
      </c>
      <c r="M146" s="15" t="s">
        <v>101</v>
      </c>
      <c r="N146" s="15" t="s">
        <v>102</v>
      </c>
      <c r="O146" s="15" t="s">
        <v>103</v>
      </c>
      <c r="P146" s="15" t="s">
        <v>104</v>
      </c>
      <c r="Q146" s="15"/>
    </row>
    <row r="147" spans="1:17" x14ac:dyDescent="0.25">
      <c r="A147" s="14"/>
      <c r="B147" s="25"/>
      <c r="C147" s="25"/>
      <c r="D147" s="15"/>
      <c r="E147" s="15"/>
      <c r="F147" s="26">
        <f>IFERROR(VLOOKUP(L147,CARTON_LOOKUP!$A:$E,3,0),"")</f>
      </c>
      <c r="G147" s="26">
        <f>IFERROR(VLOOKUP(L147,CARTON_LOOKUP!$A:$E,4,0),"")</f>
      </c>
      <c r="H147" s="26">
        <f>IFERROR(VLOOKUP(L147,CARTON_LOOKUP!$A:$E,5,0),"")</f>
      </c>
      <c r="I147" s="27">
        <f>IFERROR(VLOOKUP(L147,CARTON_LOOKUP!$A:$E,2,0),"")</f>
      </c>
      <c r="J147" s="15" t="s">
        <v>54</v>
      </c>
      <c r="K147" s="28">
        <v>0.21</v>
      </c>
      <c r="L147" s="15" t="s">
        <v>34</v>
      </c>
      <c r="M147" s="15" t="s">
        <v>101</v>
      </c>
      <c r="N147" s="15" t="s">
        <v>102</v>
      </c>
      <c r="O147" s="15" t="s">
        <v>103</v>
      </c>
      <c r="P147" s="15" t="s">
        <v>104</v>
      </c>
      <c r="Q147" s="15"/>
    </row>
    <row r="148" spans="1:17" x14ac:dyDescent="0.25">
      <c r="A148" s="14"/>
      <c r="B148" s="25"/>
      <c r="C148" s="25"/>
      <c r="D148" s="15"/>
      <c r="E148" s="15"/>
      <c r="F148" s="26">
        <f>IFERROR(VLOOKUP(L148,CARTON_LOOKUP!$A:$E,3,0),"")</f>
      </c>
      <c r="G148" s="26">
        <f>IFERROR(VLOOKUP(L148,CARTON_LOOKUP!$A:$E,4,0),"")</f>
      </c>
      <c r="H148" s="26">
        <f>IFERROR(VLOOKUP(L148,CARTON_LOOKUP!$A:$E,5,0),"")</f>
      </c>
      <c r="I148" s="27">
        <f>IFERROR(VLOOKUP(L148,CARTON_LOOKUP!$A:$E,2,0),"")</f>
      </c>
      <c r="J148" s="15" t="s">
        <v>54</v>
      </c>
      <c r="K148" s="28">
        <v>0.21</v>
      </c>
      <c r="L148" s="15" t="s">
        <v>34</v>
      </c>
      <c r="M148" s="15" t="s">
        <v>101</v>
      </c>
      <c r="N148" s="15" t="s">
        <v>102</v>
      </c>
      <c r="O148" s="15" t="s">
        <v>103</v>
      </c>
      <c r="P148" s="15" t="s">
        <v>104</v>
      </c>
      <c r="Q148" s="15"/>
    </row>
    <row r="149" spans="1:17" x14ac:dyDescent="0.25">
      <c r="A149" s="14"/>
      <c r="B149" s="25"/>
      <c r="C149" s="25"/>
      <c r="D149" s="15"/>
      <c r="E149" s="15"/>
      <c r="F149" s="26">
        <f>IFERROR(VLOOKUP(L149,CARTON_LOOKUP!$A:$E,3,0),"")</f>
      </c>
      <c r="G149" s="26">
        <f>IFERROR(VLOOKUP(L149,CARTON_LOOKUP!$A:$E,4,0),"")</f>
      </c>
      <c r="H149" s="26">
        <f>IFERROR(VLOOKUP(L149,CARTON_LOOKUP!$A:$E,5,0),"")</f>
      </c>
      <c r="I149" s="27">
        <f>IFERROR(VLOOKUP(L149,CARTON_LOOKUP!$A:$E,2,0),"")</f>
      </c>
      <c r="J149" s="15" t="s">
        <v>54</v>
      </c>
      <c r="K149" s="28">
        <v>0.21</v>
      </c>
      <c r="L149" s="15" t="s">
        <v>34</v>
      </c>
      <c r="M149" s="15" t="s">
        <v>101</v>
      </c>
      <c r="N149" s="15" t="s">
        <v>102</v>
      </c>
      <c r="O149" s="15" t="s">
        <v>103</v>
      </c>
      <c r="P149" s="15" t="s">
        <v>104</v>
      </c>
      <c r="Q149" s="15"/>
    </row>
    <row r="150" spans="1:17" x14ac:dyDescent="0.25">
      <c r="A150" s="14"/>
      <c r="B150" s="25"/>
      <c r="C150" s="25"/>
      <c r="D150" s="15"/>
      <c r="E150" s="15"/>
      <c r="F150" s="26">
        <f>IFERROR(VLOOKUP(L150,CARTON_LOOKUP!$A:$E,3,0),"")</f>
      </c>
      <c r="G150" s="26">
        <f>IFERROR(VLOOKUP(L150,CARTON_LOOKUP!$A:$E,4,0),"")</f>
      </c>
      <c r="H150" s="26">
        <f>IFERROR(VLOOKUP(L150,CARTON_LOOKUP!$A:$E,5,0),"")</f>
      </c>
      <c r="I150" s="27">
        <f>IFERROR(VLOOKUP(L150,CARTON_LOOKUP!$A:$E,2,0),"")</f>
      </c>
      <c r="J150" s="15" t="s">
        <v>54</v>
      </c>
      <c r="K150" s="28">
        <v>0.21</v>
      </c>
      <c r="L150" s="15" t="s">
        <v>34</v>
      </c>
      <c r="M150" s="15" t="s">
        <v>101</v>
      </c>
      <c r="N150" s="15" t="s">
        <v>102</v>
      </c>
      <c r="O150" s="15" t="s">
        <v>103</v>
      </c>
      <c r="P150" s="15" t="s">
        <v>104</v>
      </c>
      <c r="Q150" s="15"/>
    </row>
    <row r="151" spans="1:17" x14ac:dyDescent="0.25">
      <c r="A151" s="14"/>
      <c r="B151" s="25"/>
      <c r="C151" s="25"/>
      <c r="D151" s="15"/>
      <c r="E151" s="15"/>
      <c r="F151" s="26">
        <f>IFERROR(VLOOKUP(L151,CARTON_LOOKUP!$A:$E,3,0),"")</f>
      </c>
      <c r="G151" s="26">
        <f>IFERROR(VLOOKUP(L151,CARTON_LOOKUP!$A:$E,4,0),"")</f>
      </c>
      <c r="H151" s="26">
        <f>IFERROR(VLOOKUP(L151,CARTON_LOOKUP!$A:$E,5,0),"")</f>
      </c>
      <c r="I151" s="27">
        <f>IFERROR(VLOOKUP(L151,CARTON_LOOKUP!$A:$E,2,0),"")</f>
      </c>
      <c r="J151" s="15" t="s">
        <v>54</v>
      </c>
      <c r="K151" s="28">
        <v>0.21</v>
      </c>
      <c r="L151" s="15" t="s">
        <v>34</v>
      </c>
      <c r="M151" s="15" t="s">
        <v>101</v>
      </c>
      <c r="N151" s="15" t="s">
        <v>102</v>
      </c>
      <c r="O151" s="15" t="s">
        <v>103</v>
      </c>
      <c r="P151" s="15" t="s">
        <v>104</v>
      </c>
      <c r="Q151" s="15"/>
    </row>
    <row r="152" spans="1:17" x14ac:dyDescent="0.25">
      <c r="A152" s="14"/>
      <c r="B152" s="25"/>
      <c r="C152" s="25"/>
      <c r="D152" s="15"/>
      <c r="E152" s="15"/>
      <c r="F152" s="26">
        <f>IFERROR(VLOOKUP(L152,CARTON_LOOKUP!$A:$E,3,0),"")</f>
      </c>
      <c r="G152" s="26">
        <f>IFERROR(VLOOKUP(L152,CARTON_LOOKUP!$A:$E,4,0),"")</f>
      </c>
      <c r="H152" s="26">
        <f>IFERROR(VLOOKUP(L152,CARTON_LOOKUP!$A:$E,5,0),"")</f>
      </c>
      <c r="I152" s="27">
        <f>IFERROR(VLOOKUP(L152,CARTON_LOOKUP!$A:$E,2,0),"")</f>
      </c>
      <c r="J152" s="15" t="s">
        <v>54</v>
      </c>
      <c r="K152" s="28">
        <v>0.21</v>
      </c>
      <c r="L152" s="15" t="s">
        <v>34</v>
      </c>
      <c r="M152" s="15" t="s">
        <v>101</v>
      </c>
      <c r="N152" s="15" t="s">
        <v>102</v>
      </c>
      <c r="O152" s="15" t="s">
        <v>103</v>
      </c>
      <c r="P152" s="15" t="s">
        <v>104</v>
      </c>
      <c r="Q152" s="15"/>
    </row>
    <row r="153" spans="1:17" x14ac:dyDescent="0.25">
      <c r="A153" s="14"/>
      <c r="B153" s="25"/>
      <c r="C153" s="25"/>
      <c r="D153" s="15"/>
      <c r="E153" s="15"/>
      <c r="F153" s="26">
        <f>IFERROR(VLOOKUP(L153,CARTON_LOOKUP!$A:$E,3,0),"")</f>
      </c>
      <c r="G153" s="26">
        <f>IFERROR(VLOOKUP(L153,CARTON_LOOKUP!$A:$E,4,0),"")</f>
      </c>
      <c r="H153" s="26">
        <f>IFERROR(VLOOKUP(L153,CARTON_LOOKUP!$A:$E,5,0),"")</f>
      </c>
      <c r="I153" s="27">
        <f>IFERROR(VLOOKUP(L153,CARTON_LOOKUP!$A:$E,2,0),"")</f>
      </c>
      <c r="J153" s="15" t="s">
        <v>54</v>
      </c>
      <c r="K153" s="28">
        <v>0.21</v>
      </c>
      <c r="L153" s="15" t="s">
        <v>34</v>
      </c>
      <c r="M153" s="15" t="s">
        <v>101</v>
      </c>
      <c r="N153" s="15" t="s">
        <v>102</v>
      </c>
      <c r="O153" s="15" t="s">
        <v>103</v>
      </c>
      <c r="P153" s="15" t="s">
        <v>104</v>
      </c>
      <c r="Q153" s="15"/>
    </row>
    <row r="154" spans="1:17" x14ac:dyDescent="0.25">
      <c r="A154" s="14"/>
      <c r="B154" s="25"/>
      <c r="C154" s="25"/>
      <c r="D154" s="15"/>
      <c r="E154" s="15"/>
      <c r="F154" s="26">
        <f>IFERROR(VLOOKUP(L154,CARTON_LOOKUP!$A:$E,3,0),"")</f>
      </c>
      <c r="G154" s="26">
        <f>IFERROR(VLOOKUP(L154,CARTON_LOOKUP!$A:$E,4,0),"")</f>
      </c>
      <c r="H154" s="26">
        <f>IFERROR(VLOOKUP(L154,CARTON_LOOKUP!$A:$E,5,0),"")</f>
      </c>
      <c r="I154" s="27">
        <f>IFERROR(VLOOKUP(L154,CARTON_LOOKUP!$A:$E,2,0),"")</f>
      </c>
      <c r="J154" s="15" t="s">
        <v>54</v>
      </c>
      <c r="K154" s="28">
        <v>0.21</v>
      </c>
      <c r="L154" s="15" t="s">
        <v>34</v>
      </c>
      <c r="M154" s="15" t="s">
        <v>101</v>
      </c>
      <c r="N154" s="15" t="s">
        <v>102</v>
      </c>
      <c r="O154" s="15" t="s">
        <v>103</v>
      </c>
      <c r="P154" s="15" t="s">
        <v>104</v>
      </c>
      <c r="Q154" s="15"/>
    </row>
    <row r="155" spans="1:17" x14ac:dyDescent="0.25">
      <c r="A155" s="14"/>
      <c r="B155" s="25"/>
      <c r="C155" s="25"/>
      <c r="D155" s="15"/>
      <c r="E155" s="15"/>
      <c r="F155" s="26">
        <f>IFERROR(VLOOKUP(L155,CARTON_LOOKUP!$A:$E,3,0),"")</f>
      </c>
      <c r="G155" s="26">
        <f>IFERROR(VLOOKUP(L155,CARTON_LOOKUP!$A:$E,4,0),"")</f>
      </c>
      <c r="H155" s="26">
        <f>IFERROR(VLOOKUP(L155,CARTON_LOOKUP!$A:$E,5,0),"")</f>
      </c>
      <c r="I155" s="27">
        <f>IFERROR(VLOOKUP(L155,CARTON_LOOKUP!$A:$E,2,0),"")</f>
      </c>
      <c r="J155" s="15" t="s">
        <v>54</v>
      </c>
      <c r="K155" s="28">
        <v>0.21</v>
      </c>
      <c r="L155" s="15" t="s">
        <v>34</v>
      </c>
      <c r="M155" s="15" t="s">
        <v>101</v>
      </c>
      <c r="N155" s="15" t="s">
        <v>102</v>
      </c>
      <c r="O155" s="15" t="s">
        <v>103</v>
      </c>
      <c r="P155" s="15" t="s">
        <v>104</v>
      </c>
      <c r="Q155" s="15"/>
    </row>
    <row r="156" spans="1:17" x14ac:dyDescent="0.25">
      <c r="A156" s="14"/>
      <c r="B156" s="25"/>
      <c r="C156" s="25"/>
      <c r="D156" s="15"/>
      <c r="E156" s="15"/>
      <c r="F156" s="26">
        <f>IFERROR(VLOOKUP(L156,CARTON_LOOKUP!$A:$E,3,0),"")</f>
      </c>
      <c r="G156" s="26">
        <f>IFERROR(VLOOKUP(L156,CARTON_LOOKUP!$A:$E,4,0),"")</f>
      </c>
      <c r="H156" s="26">
        <f>IFERROR(VLOOKUP(L156,CARTON_LOOKUP!$A:$E,5,0),"")</f>
      </c>
      <c r="I156" s="27">
        <f>IFERROR(VLOOKUP(L156,CARTON_LOOKUP!$A:$E,2,0),"")</f>
      </c>
      <c r="J156" s="15" t="s">
        <v>54</v>
      </c>
      <c r="K156" s="28">
        <v>0.21</v>
      </c>
      <c r="L156" s="15" t="s">
        <v>34</v>
      </c>
      <c r="M156" s="15" t="s">
        <v>101</v>
      </c>
      <c r="N156" s="15" t="s">
        <v>102</v>
      </c>
      <c r="O156" s="15" t="s">
        <v>103</v>
      </c>
      <c r="P156" s="15" t="s">
        <v>104</v>
      </c>
      <c r="Q156" s="15"/>
    </row>
    <row r="157" spans="1:17" x14ac:dyDescent="0.25">
      <c r="A157" s="14"/>
      <c r="B157" s="25"/>
      <c r="C157" s="25"/>
      <c r="D157" s="15"/>
      <c r="E157" s="15"/>
      <c r="F157" s="26">
        <f>IFERROR(VLOOKUP(L157,CARTON_LOOKUP!$A:$E,3,0),"")</f>
      </c>
      <c r="G157" s="26">
        <f>IFERROR(VLOOKUP(L157,CARTON_LOOKUP!$A:$E,4,0),"")</f>
      </c>
      <c r="H157" s="26">
        <f>IFERROR(VLOOKUP(L157,CARTON_LOOKUP!$A:$E,5,0),"")</f>
      </c>
      <c r="I157" s="27">
        <f>IFERROR(VLOOKUP(L157,CARTON_LOOKUP!$A:$E,2,0),"")</f>
      </c>
      <c r="J157" s="15" t="s">
        <v>54</v>
      </c>
      <c r="K157" s="28">
        <v>0.21</v>
      </c>
      <c r="L157" s="15" t="s">
        <v>34</v>
      </c>
      <c r="M157" s="15" t="s">
        <v>101</v>
      </c>
      <c r="N157" s="15" t="s">
        <v>102</v>
      </c>
      <c r="O157" s="15" t="s">
        <v>103</v>
      </c>
      <c r="P157" s="15" t="s">
        <v>104</v>
      </c>
      <c r="Q157" s="15"/>
    </row>
    <row r="158" spans="1:17" x14ac:dyDescent="0.25">
      <c r="A158" s="14"/>
      <c r="B158" s="25"/>
      <c r="C158" s="25"/>
      <c r="D158" s="15"/>
      <c r="E158" s="15"/>
      <c r="F158" s="26">
        <f>IFERROR(VLOOKUP(L158,CARTON_LOOKUP!$A:$E,3,0),"")</f>
      </c>
      <c r="G158" s="26">
        <f>IFERROR(VLOOKUP(L158,CARTON_LOOKUP!$A:$E,4,0),"")</f>
      </c>
      <c r="H158" s="26">
        <f>IFERROR(VLOOKUP(L158,CARTON_LOOKUP!$A:$E,5,0),"")</f>
      </c>
      <c r="I158" s="27">
        <f>IFERROR(VLOOKUP(L158,CARTON_LOOKUP!$A:$E,2,0),"")</f>
      </c>
      <c r="J158" s="15" t="s">
        <v>54</v>
      </c>
      <c r="K158" s="28">
        <v>0.21</v>
      </c>
      <c r="L158" s="15" t="s">
        <v>34</v>
      </c>
      <c r="M158" s="15" t="s">
        <v>101</v>
      </c>
      <c r="N158" s="15" t="s">
        <v>102</v>
      </c>
      <c r="O158" s="15" t="s">
        <v>103</v>
      </c>
      <c r="P158" s="15" t="s">
        <v>104</v>
      </c>
      <c r="Q158" s="15"/>
    </row>
    <row r="159" spans="1:17" x14ac:dyDescent="0.25">
      <c r="A159" s="14"/>
      <c r="B159" s="25"/>
      <c r="C159" s="25"/>
      <c r="D159" s="15"/>
      <c r="E159" s="15"/>
      <c r="F159" s="26">
        <f>IFERROR(VLOOKUP(L159,CARTON_LOOKUP!$A:$E,3,0),"")</f>
      </c>
      <c r="G159" s="26">
        <f>IFERROR(VLOOKUP(L159,CARTON_LOOKUP!$A:$E,4,0),"")</f>
      </c>
      <c r="H159" s="26">
        <f>IFERROR(VLOOKUP(L159,CARTON_LOOKUP!$A:$E,5,0),"")</f>
      </c>
      <c r="I159" s="27">
        <f>IFERROR(VLOOKUP(L159,CARTON_LOOKUP!$A:$E,2,0),"")</f>
      </c>
      <c r="J159" s="15" t="s">
        <v>54</v>
      </c>
      <c r="K159" s="28">
        <v>0.21</v>
      </c>
      <c r="L159" s="15" t="s">
        <v>34</v>
      </c>
      <c r="M159" s="15" t="s">
        <v>101</v>
      </c>
      <c r="N159" s="15" t="s">
        <v>102</v>
      </c>
      <c r="O159" s="15" t="s">
        <v>103</v>
      </c>
      <c r="P159" s="15" t="s">
        <v>104</v>
      </c>
      <c r="Q159" s="15"/>
    </row>
    <row r="160" spans="1:17" x14ac:dyDescent="0.25">
      <c r="A160" s="14"/>
      <c r="B160" s="25"/>
      <c r="C160" s="25"/>
      <c r="D160" s="15"/>
      <c r="E160" s="15"/>
      <c r="F160" s="26">
        <f>IFERROR(VLOOKUP(L160,CARTON_LOOKUP!$A:$E,3,0),"")</f>
      </c>
      <c r="G160" s="26">
        <f>IFERROR(VLOOKUP(L160,CARTON_LOOKUP!$A:$E,4,0),"")</f>
      </c>
      <c r="H160" s="26">
        <f>IFERROR(VLOOKUP(L160,CARTON_LOOKUP!$A:$E,5,0),"")</f>
      </c>
      <c r="I160" s="27">
        <f>IFERROR(VLOOKUP(L160,CARTON_LOOKUP!$A:$E,2,0),"")</f>
      </c>
      <c r="J160" s="15" t="s">
        <v>54</v>
      </c>
      <c r="K160" s="28">
        <v>0.21</v>
      </c>
      <c r="L160" s="15" t="s">
        <v>34</v>
      </c>
      <c r="M160" s="15" t="s">
        <v>101</v>
      </c>
      <c r="N160" s="15" t="s">
        <v>102</v>
      </c>
      <c r="O160" s="15" t="s">
        <v>103</v>
      </c>
      <c r="P160" s="15" t="s">
        <v>104</v>
      </c>
      <c r="Q160" s="15"/>
    </row>
    <row r="161" spans="1:17" x14ac:dyDescent="0.25">
      <c r="A161" s="14"/>
      <c r="B161" s="25"/>
      <c r="C161" s="25"/>
      <c r="D161" s="15"/>
      <c r="E161" s="15"/>
      <c r="F161" s="26">
        <f>IFERROR(VLOOKUP(L161,CARTON_LOOKUP!$A:$E,3,0),"")</f>
      </c>
      <c r="G161" s="26">
        <f>IFERROR(VLOOKUP(L161,CARTON_LOOKUP!$A:$E,4,0),"")</f>
      </c>
      <c r="H161" s="26">
        <f>IFERROR(VLOOKUP(L161,CARTON_LOOKUP!$A:$E,5,0),"")</f>
      </c>
      <c r="I161" s="27">
        <f>IFERROR(VLOOKUP(L161,CARTON_LOOKUP!$A:$E,2,0),"")</f>
      </c>
      <c r="J161" s="15" t="s">
        <v>54</v>
      </c>
      <c r="K161" s="28">
        <v>0.21</v>
      </c>
      <c r="L161" s="15" t="s">
        <v>34</v>
      </c>
      <c r="M161" s="15" t="s">
        <v>101</v>
      </c>
      <c r="N161" s="15" t="s">
        <v>102</v>
      </c>
      <c r="O161" s="15" t="s">
        <v>103</v>
      </c>
      <c r="P161" s="15" t="s">
        <v>104</v>
      </c>
      <c r="Q161" s="15"/>
    </row>
    <row r="162" spans="1:17" x14ac:dyDescent="0.25">
      <c r="A162" s="14"/>
      <c r="B162" s="25"/>
      <c r="C162" s="25"/>
      <c r="D162" s="15"/>
      <c r="E162" s="15"/>
      <c r="F162" s="26">
        <f>IFERROR(VLOOKUP(L162,CARTON_LOOKUP!$A:$E,3,0),"")</f>
      </c>
      <c r="G162" s="26">
        <f>IFERROR(VLOOKUP(L162,CARTON_LOOKUP!$A:$E,4,0),"")</f>
      </c>
      <c r="H162" s="26">
        <f>IFERROR(VLOOKUP(L162,CARTON_LOOKUP!$A:$E,5,0),"")</f>
      </c>
      <c r="I162" s="27">
        <f>IFERROR(VLOOKUP(L162,CARTON_LOOKUP!$A:$E,2,0),"")</f>
      </c>
      <c r="J162" s="15" t="s">
        <v>54</v>
      </c>
      <c r="K162" s="28">
        <v>0.21</v>
      </c>
      <c r="L162" s="15" t="s">
        <v>34</v>
      </c>
      <c r="M162" s="15" t="s">
        <v>101</v>
      </c>
      <c r="N162" s="15" t="s">
        <v>102</v>
      </c>
      <c r="O162" s="15" t="s">
        <v>103</v>
      </c>
      <c r="P162" s="15" t="s">
        <v>104</v>
      </c>
      <c r="Q162" s="15"/>
    </row>
    <row r="163" spans="1:17" x14ac:dyDescent="0.25">
      <c r="A163" s="14"/>
      <c r="B163" s="25"/>
      <c r="C163" s="25"/>
      <c r="D163" s="15"/>
      <c r="E163" s="15"/>
      <c r="F163" s="26">
        <f>IFERROR(VLOOKUP(L163,CARTON_LOOKUP!$A:$E,3,0),"")</f>
      </c>
      <c r="G163" s="26">
        <f>IFERROR(VLOOKUP(L163,CARTON_LOOKUP!$A:$E,4,0),"")</f>
      </c>
      <c r="H163" s="26">
        <f>IFERROR(VLOOKUP(L163,CARTON_LOOKUP!$A:$E,5,0),"")</f>
      </c>
      <c r="I163" s="27">
        <f>IFERROR(VLOOKUP(L163,CARTON_LOOKUP!$A:$E,2,0),"")</f>
      </c>
      <c r="J163" s="15" t="s">
        <v>54</v>
      </c>
      <c r="K163" s="28">
        <v>0.21</v>
      </c>
      <c r="L163" s="15" t="s">
        <v>34</v>
      </c>
      <c r="M163" s="15" t="s">
        <v>101</v>
      </c>
      <c r="N163" s="15" t="s">
        <v>102</v>
      </c>
      <c r="O163" s="15" t="s">
        <v>103</v>
      </c>
      <c r="P163" s="15" t="s">
        <v>104</v>
      </c>
      <c r="Q163" s="15"/>
    </row>
    <row r="164" spans="1:17" x14ac:dyDescent="0.25">
      <c r="A164" s="14"/>
      <c r="B164" s="25"/>
      <c r="C164" s="25"/>
      <c r="D164" s="15"/>
      <c r="E164" s="15"/>
      <c r="F164" s="26">
        <f>IFERROR(VLOOKUP(L164,CARTON_LOOKUP!$A:$E,3,0),"")</f>
      </c>
      <c r="G164" s="26">
        <f>IFERROR(VLOOKUP(L164,CARTON_LOOKUP!$A:$E,4,0),"")</f>
      </c>
      <c r="H164" s="26">
        <f>IFERROR(VLOOKUP(L164,CARTON_LOOKUP!$A:$E,5,0),"")</f>
      </c>
      <c r="I164" s="27">
        <f>IFERROR(VLOOKUP(L164,CARTON_LOOKUP!$A:$E,2,0),"")</f>
      </c>
      <c r="J164" s="15" t="s">
        <v>54</v>
      </c>
      <c r="K164" s="28">
        <v>0.21</v>
      </c>
      <c r="L164" s="15" t="s">
        <v>34</v>
      </c>
      <c r="M164" s="15" t="s">
        <v>101</v>
      </c>
      <c r="N164" s="15" t="s">
        <v>102</v>
      </c>
      <c r="O164" s="15" t="s">
        <v>103</v>
      </c>
      <c r="P164" s="15" t="s">
        <v>104</v>
      </c>
      <c r="Q164" s="15"/>
    </row>
    <row r="165" spans="1:17" x14ac:dyDescent="0.25">
      <c r="A165" s="14"/>
      <c r="B165" s="25"/>
      <c r="C165" s="25"/>
      <c r="D165" s="15"/>
      <c r="E165" s="15"/>
      <c r="F165" s="26">
        <f>IFERROR(VLOOKUP(L165,CARTON_LOOKUP!$A:$E,3,0),"")</f>
      </c>
      <c r="G165" s="26">
        <f>IFERROR(VLOOKUP(L165,CARTON_LOOKUP!$A:$E,4,0),"")</f>
      </c>
      <c r="H165" s="26">
        <f>IFERROR(VLOOKUP(L165,CARTON_LOOKUP!$A:$E,5,0),"")</f>
      </c>
      <c r="I165" s="27">
        <f>IFERROR(VLOOKUP(L165,CARTON_LOOKUP!$A:$E,2,0),"")</f>
      </c>
      <c r="J165" s="15" t="s">
        <v>54</v>
      </c>
      <c r="K165" s="28">
        <v>0.21</v>
      </c>
      <c r="L165" s="15" t="s">
        <v>34</v>
      </c>
      <c r="M165" s="15" t="s">
        <v>101</v>
      </c>
      <c r="N165" s="15" t="s">
        <v>102</v>
      </c>
      <c r="O165" s="15" t="s">
        <v>103</v>
      </c>
      <c r="P165" s="15" t="s">
        <v>104</v>
      </c>
      <c r="Q165" s="15"/>
    </row>
    <row r="166" spans="1:17" x14ac:dyDescent="0.25">
      <c r="A166" s="14"/>
      <c r="B166" s="25"/>
      <c r="C166" s="25"/>
      <c r="D166" s="15"/>
      <c r="E166" s="15"/>
      <c r="F166" s="26">
        <f>IFERROR(VLOOKUP(L166,CARTON_LOOKUP!$A:$E,3,0),"")</f>
      </c>
      <c r="G166" s="26">
        <f>IFERROR(VLOOKUP(L166,CARTON_LOOKUP!$A:$E,4,0),"")</f>
      </c>
      <c r="H166" s="26">
        <f>IFERROR(VLOOKUP(L166,CARTON_LOOKUP!$A:$E,5,0),"")</f>
      </c>
      <c r="I166" s="27">
        <f>IFERROR(VLOOKUP(L166,CARTON_LOOKUP!$A:$E,2,0),"")</f>
      </c>
      <c r="J166" s="15" t="s">
        <v>54</v>
      </c>
      <c r="K166" s="28">
        <v>0.21</v>
      </c>
      <c r="L166" s="15" t="s">
        <v>34</v>
      </c>
      <c r="M166" s="15" t="s">
        <v>101</v>
      </c>
      <c r="N166" s="15" t="s">
        <v>102</v>
      </c>
      <c r="O166" s="15" t="s">
        <v>103</v>
      </c>
      <c r="P166" s="15" t="s">
        <v>104</v>
      </c>
      <c r="Q166" s="15"/>
    </row>
    <row r="167" spans="1:17" x14ac:dyDescent="0.25">
      <c r="A167" s="14"/>
      <c r="B167" s="25"/>
      <c r="C167" s="25"/>
      <c r="D167" s="15"/>
      <c r="E167" s="15"/>
      <c r="F167" s="26">
        <f>IFERROR(VLOOKUP(L167,CARTON_LOOKUP!$A:$E,3,0),"")</f>
      </c>
      <c r="G167" s="26">
        <f>IFERROR(VLOOKUP(L167,CARTON_LOOKUP!$A:$E,4,0),"")</f>
      </c>
      <c r="H167" s="26">
        <f>IFERROR(VLOOKUP(L167,CARTON_LOOKUP!$A:$E,5,0),"")</f>
      </c>
      <c r="I167" s="27">
        <f>IFERROR(VLOOKUP(L167,CARTON_LOOKUP!$A:$E,2,0),"")</f>
      </c>
      <c r="J167" s="15" t="s">
        <v>54</v>
      </c>
      <c r="K167" s="28">
        <v>0.21</v>
      </c>
      <c r="L167" s="15" t="s">
        <v>34</v>
      </c>
      <c r="M167" s="15" t="s">
        <v>101</v>
      </c>
      <c r="N167" s="15" t="s">
        <v>102</v>
      </c>
      <c r="O167" s="15" t="s">
        <v>103</v>
      </c>
      <c r="P167" s="15" t="s">
        <v>104</v>
      </c>
      <c r="Q167" s="15"/>
    </row>
    <row r="168" spans="1:17" x14ac:dyDescent="0.25">
      <c r="A168" s="14"/>
      <c r="B168" s="25"/>
      <c r="C168" s="25"/>
      <c r="D168" s="15"/>
      <c r="E168" s="15"/>
      <c r="F168" s="26">
        <f>IFERROR(VLOOKUP(L168,CARTON_LOOKUP!$A:$E,3,0),"")</f>
      </c>
      <c r="G168" s="26">
        <f>IFERROR(VLOOKUP(L168,CARTON_LOOKUP!$A:$E,4,0),"")</f>
      </c>
      <c r="H168" s="26">
        <f>IFERROR(VLOOKUP(L168,CARTON_LOOKUP!$A:$E,5,0),"")</f>
      </c>
      <c r="I168" s="27">
        <f>IFERROR(VLOOKUP(L168,CARTON_LOOKUP!$A:$E,2,0),"")</f>
      </c>
      <c r="J168" s="15" t="s">
        <v>54</v>
      </c>
      <c r="K168" s="28">
        <v>0.21</v>
      </c>
      <c r="L168" s="15" t="s">
        <v>34</v>
      </c>
      <c r="M168" s="15" t="s">
        <v>101</v>
      </c>
      <c r="N168" s="15" t="s">
        <v>102</v>
      </c>
      <c r="O168" s="15" t="s">
        <v>103</v>
      </c>
      <c r="P168" s="15" t="s">
        <v>104</v>
      </c>
      <c r="Q168" s="15"/>
    </row>
    <row r="169" spans="1:17" x14ac:dyDescent="0.25">
      <c r="A169" s="14"/>
      <c r="B169" s="25"/>
      <c r="C169" s="25"/>
      <c r="D169" s="15"/>
      <c r="E169" s="15"/>
      <c r="F169" s="26">
        <f>IFERROR(VLOOKUP(L169,CARTON_LOOKUP!$A:$E,3,0),"")</f>
      </c>
      <c r="G169" s="26">
        <f>IFERROR(VLOOKUP(L169,CARTON_LOOKUP!$A:$E,4,0),"")</f>
      </c>
      <c r="H169" s="26">
        <f>IFERROR(VLOOKUP(L169,CARTON_LOOKUP!$A:$E,5,0),"")</f>
      </c>
      <c r="I169" s="27">
        <f>IFERROR(VLOOKUP(L169,CARTON_LOOKUP!$A:$E,2,0),"")</f>
      </c>
      <c r="J169" s="15" t="s">
        <v>54</v>
      </c>
      <c r="K169" s="28">
        <v>0.21</v>
      </c>
      <c r="L169" s="15" t="s">
        <v>34</v>
      </c>
      <c r="M169" s="15" t="s">
        <v>101</v>
      </c>
      <c r="N169" s="15" t="s">
        <v>102</v>
      </c>
      <c r="O169" s="15" t="s">
        <v>103</v>
      </c>
      <c r="P169" s="15" t="s">
        <v>104</v>
      </c>
      <c r="Q169" s="15"/>
    </row>
    <row r="170" spans="1:17" x14ac:dyDescent="0.25">
      <c r="A170" s="14"/>
      <c r="B170" s="25"/>
      <c r="C170" s="25"/>
      <c r="D170" s="15"/>
      <c r="E170" s="15"/>
      <c r="F170" s="26">
        <f>IFERROR(VLOOKUP(L170,CARTON_LOOKUP!$A:$E,3,0),"")</f>
      </c>
      <c r="G170" s="26">
        <f>IFERROR(VLOOKUP(L170,CARTON_LOOKUP!$A:$E,4,0),"")</f>
      </c>
      <c r="H170" s="26">
        <f>IFERROR(VLOOKUP(L170,CARTON_LOOKUP!$A:$E,5,0),"")</f>
      </c>
      <c r="I170" s="27">
        <f>IFERROR(VLOOKUP(L170,CARTON_LOOKUP!$A:$E,2,0),"")</f>
      </c>
      <c r="J170" s="15" t="s">
        <v>54</v>
      </c>
      <c r="K170" s="28">
        <v>0.21</v>
      </c>
      <c r="L170" s="15" t="s">
        <v>34</v>
      </c>
      <c r="M170" s="15" t="s">
        <v>101</v>
      </c>
      <c r="N170" s="15" t="s">
        <v>102</v>
      </c>
      <c r="O170" s="15" t="s">
        <v>103</v>
      </c>
      <c r="P170" s="15" t="s">
        <v>104</v>
      </c>
      <c r="Q170" s="15"/>
    </row>
    <row r="171" spans="1:17" x14ac:dyDescent="0.25">
      <c r="A171" s="14"/>
      <c r="B171" s="25"/>
      <c r="C171" s="25"/>
      <c r="D171" s="15"/>
      <c r="E171" s="15"/>
      <c r="F171" s="26">
        <f>IFERROR(VLOOKUP(L171,CARTON_LOOKUP!$A:$E,3,0),"")</f>
      </c>
      <c r="G171" s="26">
        <f>IFERROR(VLOOKUP(L171,CARTON_LOOKUP!$A:$E,4,0),"")</f>
      </c>
      <c r="H171" s="26">
        <f>IFERROR(VLOOKUP(L171,CARTON_LOOKUP!$A:$E,5,0),"")</f>
      </c>
      <c r="I171" s="27">
        <f>IFERROR(VLOOKUP(L171,CARTON_LOOKUP!$A:$E,2,0),"")</f>
      </c>
      <c r="J171" s="15" t="s">
        <v>54</v>
      </c>
      <c r="K171" s="28">
        <v>0.21</v>
      </c>
      <c r="L171" s="15" t="s">
        <v>34</v>
      </c>
      <c r="M171" s="15" t="s">
        <v>101</v>
      </c>
      <c r="N171" s="15" t="s">
        <v>102</v>
      </c>
      <c r="O171" s="15" t="s">
        <v>103</v>
      </c>
      <c r="P171" s="15" t="s">
        <v>104</v>
      </c>
      <c r="Q171" s="15"/>
    </row>
    <row r="172" spans="1:17" x14ac:dyDescent="0.25">
      <c r="A172" s="14"/>
      <c r="B172" s="25"/>
      <c r="C172" s="25"/>
      <c r="D172" s="15"/>
      <c r="E172" s="15"/>
      <c r="F172" s="26">
        <f>IFERROR(VLOOKUP(L172,CARTON_LOOKUP!$A:$E,3,0),"")</f>
      </c>
      <c r="G172" s="26">
        <f>IFERROR(VLOOKUP(L172,CARTON_LOOKUP!$A:$E,4,0),"")</f>
      </c>
      <c r="H172" s="26">
        <f>IFERROR(VLOOKUP(L172,CARTON_LOOKUP!$A:$E,5,0),"")</f>
      </c>
      <c r="I172" s="27">
        <f>IFERROR(VLOOKUP(L172,CARTON_LOOKUP!$A:$E,2,0),"")</f>
      </c>
      <c r="J172" s="15" t="s">
        <v>54</v>
      </c>
      <c r="K172" s="28">
        <v>0.21</v>
      </c>
      <c r="L172" s="15" t="s">
        <v>34</v>
      </c>
      <c r="M172" s="15" t="s">
        <v>101</v>
      </c>
      <c r="N172" s="15" t="s">
        <v>102</v>
      </c>
      <c r="O172" s="15" t="s">
        <v>103</v>
      </c>
      <c r="P172" s="15" t="s">
        <v>104</v>
      </c>
      <c r="Q172" s="15"/>
    </row>
    <row r="173" spans="1:17" x14ac:dyDescent="0.25">
      <c r="A173" s="14"/>
      <c r="B173" s="25"/>
      <c r="C173" s="25"/>
      <c r="D173" s="15"/>
      <c r="E173" s="15"/>
      <c r="F173" s="26">
        <f>IFERROR(VLOOKUP(L173,CARTON_LOOKUP!$A:$E,3,0),"")</f>
      </c>
      <c r="G173" s="26">
        <f>IFERROR(VLOOKUP(L173,CARTON_LOOKUP!$A:$E,4,0),"")</f>
      </c>
      <c r="H173" s="26">
        <f>IFERROR(VLOOKUP(L173,CARTON_LOOKUP!$A:$E,5,0),"")</f>
      </c>
      <c r="I173" s="27">
        <f>IFERROR(VLOOKUP(L173,CARTON_LOOKUP!$A:$E,2,0),"")</f>
      </c>
      <c r="J173" s="15" t="s">
        <v>54</v>
      </c>
      <c r="K173" s="28">
        <v>0.21</v>
      </c>
      <c r="L173" s="15" t="s">
        <v>34</v>
      </c>
      <c r="M173" s="15" t="s">
        <v>101</v>
      </c>
      <c r="N173" s="15" t="s">
        <v>102</v>
      </c>
      <c r="O173" s="15" t="s">
        <v>103</v>
      </c>
      <c r="P173" s="15" t="s">
        <v>104</v>
      </c>
      <c r="Q173" s="15"/>
    </row>
    <row r="174" spans="1:17" x14ac:dyDescent="0.25">
      <c r="A174" s="14"/>
      <c r="B174" s="25"/>
      <c r="C174" s="25"/>
      <c r="D174" s="15"/>
      <c r="E174" s="15"/>
      <c r="F174" s="26">
        <f>IFERROR(VLOOKUP(L174,CARTON_LOOKUP!$A:$E,3,0),"")</f>
      </c>
      <c r="G174" s="26">
        <f>IFERROR(VLOOKUP(L174,CARTON_LOOKUP!$A:$E,4,0),"")</f>
      </c>
      <c r="H174" s="26">
        <f>IFERROR(VLOOKUP(L174,CARTON_LOOKUP!$A:$E,5,0),"")</f>
      </c>
      <c r="I174" s="27">
        <f>IFERROR(VLOOKUP(L174,CARTON_LOOKUP!$A:$E,2,0),"")</f>
      </c>
      <c r="J174" s="15" t="s">
        <v>54</v>
      </c>
      <c r="K174" s="28">
        <v>0.21</v>
      </c>
      <c r="L174" s="15" t="s">
        <v>34</v>
      </c>
      <c r="M174" s="15" t="s">
        <v>101</v>
      </c>
      <c r="N174" s="15" t="s">
        <v>102</v>
      </c>
      <c r="O174" s="15" t="s">
        <v>103</v>
      </c>
      <c r="P174" s="15" t="s">
        <v>104</v>
      </c>
      <c r="Q174" s="15"/>
    </row>
    <row r="175" spans="1:17" x14ac:dyDescent="0.25">
      <c r="A175" s="14"/>
      <c r="B175" s="25"/>
      <c r="C175" s="25"/>
      <c r="D175" s="15"/>
      <c r="E175" s="15"/>
      <c r="F175" s="26">
        <f>IFERROR(VLOOKUP(L175,CARTON_LOOKUP!$A:$E,3,0),"")</f>
      </c>
      <c r="G175" s="26">
        <f>IFERROR(VLOOKUP(L175,CARTON_LOOKUP!$A:$E,4,0),"")</f>
      </c>
      <c r="H175" s="26">
        <f>IFERROR(VLOOKUP(L175,CARTON_LOOKUP!$A:$E,5,0),"")</f>
      </c>
      <c r="I175" s="27">
        <f>IFERROR(VLOOKUP(L175,CARTON_LOOKUP!$A:$E,2,0),"")</f>
      </c>
      <c r="J175" s="15" t="s">
        <v>54</v>
      </c>
      <c r="K175" s="28">
        <v>0.21</v>
      </c>
      <c r="L175" s="15" t="s">
        <v>34</v>
      </c>
      <c r="M175" s="15" t="s">
        <v>101</v>
      </c>
      <c r="N175" s="15" t="s">
        <v>102</v>
      </c>
      <c r="O175" s="15" t="s">
        <v>103</v>
      </c>
      <c r="P175" s="15" t="s">
        <v>104</v>
      </c>
      <c r="Q175" s="15"/>
    </row>
    <row r="176" spans="1:17" x14ac:dyDescent="0.25">
      <c r="A176" s="14"/>
      <c r="B176" s="25"/>
      <c r="C176" s="25"/>
      <c r="D176" s="15"/>
      <c r="E176" s="15"/>
      <c r="F176" s="26">
        <f>IFERROR(VLOOKUP(L176,CARTON_LOOKUP!$A:$E,3,0),"")</f>
      </c>
      <c r="G176" s="26">
        <f>IFERROR(VLOOKUP(L176,CARTON_LOOKUP!$A:$E,4,0),"")</f>
      </c>
      <c r="H176" s="26">
        <f>IFERROR(VLOOKUP(L176,CARTON_LOOKUP!$A:$E,5,0),"")</f>
      </c>
      <c r="I176" s="27">
        <f>IFERROR(VLOOKUP(L176,CARTON_LOOKUP!$A:$E,2,0),"")</f>
      </c>
      <c r="J176" s="15" t="s">
        <v>54</v>
      </c>
      <c r="K176" s="28">
        <v>0.21</v>
      </c>
      <c r="L176" s="15" t="s">
        <v>34</v>
      </c>
      <c r="M176" s="15" t="s">
        <v>101</v>
      </c>
      <c r="N176" s="15" t="s">
        <v>102</v>
      </c>
      <c r="O176" s="15" t="s">
        <v>103</v>
      </c>
      <c r="P176" s="15" t="s">
        <v>104</v>
      </c>
      <c r="Q176" s="15"/>
    </row>
    <row r="177" spans="1:17" x14ac:dyDescent="0.25">
      <c r="A177" s="14"/>
      <c r="B177" s="25"/>
      <c r="C177" s="25"/>
      <c r="D177" s="15"/>
      <c r="E177" s="15"/>
      <c r="F177" s="26">
        <f>IFERROR(VLOOKUP(L177,CARTON_LOOKUP!$A:$E,3,0),"")</f>
      </c>
      <c r="G177" s="26">
        <f>IFERROR(VLOOKUP(L177,CARTON_LOOKUP!$A:$E,4,0),"")</f>
      </c>
      <c r="H177" s="26">
        <f>IFERROR(VLOOKUP(L177,CARTON_LOOKUP!$A:$E,5,0),"")</f>
      </c>
      <c r="I177" s="27">
        <f>IFERROR(VLOOKUP(L177,CARTON_LOOKUP!$A:$E,2,0),"")</f>
      </c>
      <c r="J177" s="15" t="s">
        <v>54</v>
      </c>
      <c r="K177" s="28">
        <v>0.21</v>
      </c>
      <c r="L177" s="15" t="s">
        <v>34</v>
      </c>
      <c r="M177" s="15" t="s">
        <v>101</v>
      </c>
      <c r="N177" s="15" t="s">
        <v>102</v>
      </c>
      <c r="O177" s="15" t="s">
        <v>103</v>
      </c>
      <c r="P177" s="15" t="s">
        <v>104</v>
      </c>
      <c r="Q177" s="15"/>
    </row>
    <row r="178" spans="1:17" x14ac:dyDescent="0.25">
      <c r="A178" s="14"/>
      <c r="B178" s="25"/>
      <c r="C178" s="25"/>
      <c r="D178" s="15"/>
      <c r="E178" s="15"/>
      <c r="F178" s="26">
        <f>IFERROR(VLOOKUP(L178,CARTON_LOOKUP!$A:$E,3,0),"")</f>
      </c>
      <c r="G178" s="26">
        <f>IFERROR(VLOOKUP(L178,CARTON_LOOKUP!$A:$E,4,0),"")</f>
      </c>
      <c r="H178" s="26">
        <f>IFERROR(VLOOKUP(L178,CARTON_LOOKUP!$A:$E,5,0),"")</f>
      </c>
      <c r="I178" s="27">
        <f>IFERROR(VLOOKUP(L178,CARTON_LOOKUP!$A:$E,2,0),"")</f>
      </c>
      <c r="J178" s="15" t="s">
        <v>54</v>
      </c>
      <c r="K178" s="28">
        <v>0.21</v>
      </c>
      <c r="L178" s="15" t="s">
        <v>34</v>
      </c>
      <c r="M178" s="15" t="s">
        <v>101</v>
      </c>
      <c r="N178" s="15" t="s">
        <v>102</v>
      </c>
      <c r="O178" s="15" t="s">
        <v>103</v>
      </c>
      <c r="P178" s="15" t="s">
        <v>104</v>
      </c>
      <c r="Q178" s="15"/>
    </row>
    <row r="179" spans="1:17" x14ac:dyDescent="0.25">
      <c r="A179" s="14"/>
      <c r="B179" s="25"/>
      <c r="C179" s="25"/>
      <c r="D179" s="15"/>
      <c r="E179" s="15"/>
      <c r="F179" s="26">
        <f>IFERROR(VLOOKUP(L179,CARTON_LOOKUP!$A:$E,3,0),"")</f>
      </c>
      <c r="G179" s="26">
        <f>IFERROR(VLOOKUP(L179,CARTON_LOOKUP!$A:$E,4,0),"")</f>
      </c>
      <c r="H179" s="26">
        <f>IFERROR(VLOOKUP(L179,CARTON_LOOKUP!$A:$E,5,0),"")</f>
      </c>
      <c r="I179" s="27">
        <f>IFERROR(VLOOKUP(L179,CARTON_LOOKUP!$A:$E,2,0),"")</f>
      </c>
      <c r="J179" s="15" t="s">
        <v>54</v>
      </c>
      <c r="K179" s="28">
        <v>0.21</v>
      </c>
      <c r="L179" s="15" t="s">
        <v>34</v>
      </c>
      <c r="M179" s="15" t="s">
        <v>101</v>
      </c>
      <c r="N179" s="15" t="s">
        <v>102</v>
      </c>
      <c r="O179" s="15" t="s">
        <v>103</v>
      </c>
      <c r="P179" s="15" t="s">
        <v>104</v>
      </c>
      <c r="Q179" s="15"/>
    </row>
    <row r="180" spans="1:17" x14ac:dyDescent="0.25">
      <c r="A180" s="14"/>
      <c r="B180" s="25"/>
      <c r="C180" s="25"/>
      <c r="D180" s="15"/>
      <c r="E180" s="15"/>
      <c r="F180" s="26">
        <f>IFERROR(VLOOKUP(L180,CARTON_LOOKUP!$A:$E,3,0),"")</f>
      </c>
      <c r="G180" s="26">
        <f>IFERROR(VLOOKUP(L180,CARTON_LOOKUP!$A:$E,4,0),"")</f>
      </c>
      <c r="H180" s="26">
        <f>IFERROR(VLOOKUP(L180,CARTON_LOOKUP!$A:$E,5,0),"")</f>
      </c>
      <c r="I180" s="27">
        <f>IFERROR(VLOOKUP(L180,CARTON_LOOKUP!$A:$E,2,0),"")</f>
      </c>
      <c r="J180" s="15" t="s">
        <v>54</v>
      </c>
      <c r="K180" s="28">
        <v>0.21</v>
      </c>
      <c r="L180" s="15" t="s">
        <v>34</v>
      </c>
      <c r="M180" s="15" t="s">
        <v>101</v>
      </c>
      <c r="N180" s="15" t="s">
        <v>102</v>
      </c>
      <c r="O180" s="15" t="s">
        <v>103</v>
      </c>
      <c r="P180" s="15" t="s">
        <v>104</v>
      </c>
      <c r="Q180" s="15"/>
    </row>
    <row r="181" spans="1:17" x14ac:dyDescent="0.25">
      <c r="A181" s="14"/>
      <c r="B181" s="25"/>
      <c r="C181" s="25"/>
      <c r="D181" s="15"/>
      <c r="E181" s="15"/>
      <c r="F181" s="26">
        <f>IFERROR(VLOOKUP(L181,CARTON_LOOKUP!$A:$E,3,0),"")</f>
      </c>
      <c r="G181" s="26">
        <f>IFERROR(VLOOKUP(L181,CARTON_LOOKUP!$A:$E,4,0),"")</f>
      </c>
      <c r="H181" s="26">
        <f>IFERROR(VLOOKUP(L181,CARTON_LOOKUP!$A:$E,5,0),"")</f>
      </c>
      <c r="I181" s="27">
        <f>IFERROR(VLOOKUP(L181,CARTON_LOOKUP!$A:$E,2,0),"")</f>
      </c>
      <c r="J181" s="15" t="s">
        <v>54</v>
      </c>
      <c r="K181" s="28">
        <v>0.21</v>
      </c>
      <c r="L181" s="15" t="s">
        <v>34</v>
      </c>
      <c r="M181" s="15" t="s">
        <v>101</v>
      </c>
      <c r="N181" s="15" t="s">
        <v>102</v>
      </c>
      <c r="O181" s="15" t="s">
        <v>103</v>
      </c>
      <c r="P181" s="15" t="s">
        <v>104</v>
      </c>
      <c r="Q181" s="15"/>
    </row>
    <row r="182" spans="1:17" x14ac:dyDescent="0.25">
      <c r="A182" s="14"/>
      <c r="B182" s="25"/>
      <c r="C182" s="25"/>
      <c r="D182" s="15"/>
      <c r="E182" s="15"/>
      <c r="F182" s="26">
        <f>IFERROR(VLOOKUP(L182,CARTON_LOOKUP!$A:$E,3,0),"")</f>
      </c>
      <c r="G182" s="26">
        <f>IFERROR(VLOOKUP(L182,CARTON_LOOKUP!$A:$E,4,0),"")</f>
      </c>
      <c r="H182" s="26">
        <f>IFERROR(VLOOKUP(L182,CARTON_LOOKUP!$A:$E,5,0),"")</f>
      </c>
      <c r="I182" s="27">
        <f>IFERROR(VLOOKUP(L182,CARTON_LOOKUP!$A:$E,2,0),"")</f>
      </c>
      <c r="J182" s="15" t="s">
        <v>54</v>
      </c>
      <c r="K182" s="28">
        <v>0.21</v>
      </c>
      <c r="L182" s="15" t="s">
        <v>34</v>
      </c>
      <c r="M182" s="15" t="s">
        <v>101</v>
      </c>
      <c r="N182" s="15" t="s">
        <v>102</v>
      </c>
      <c r="O182" s="15" t="s">
        <v>103</v>
      </c>
      <c r="P182" s="15" t="s">
        <v>104</v>
      </c>
      <c r="Q182" s="15"/>
    </row>
    <row r="183" spans="1:17" x14ac:dyDescent="0.25">
      <c r="A183" s="14"/>
      <c r="B183" s="25"/>
      <c r="C183" s="25"/>
      <c r="D183" s="15"/>
      <c r="E183" s="15"/>
      <c r="F183" s="26">
        <f>IFERROR(VLOOKUP(L183,CARTON_LOOKUP!$A:$E,3,0),"")</f>
      </c>
      <c r="G183" s="26">
        <f>IFERROR(VLOOKUP(L183,CARTON_LOOKUP!$A:$E,4,0),"")</f>
      </c>
      <c r="H183" s="26">
        <f>IFERROR(VLOOKUP(L183,CARTON_LOOKUP!$A:$E,5,0),"")</f>
      </c>
      <c r="I183" s="27">
        <f>IFERROR(VLOOKUP(L183,CARTON_LOOKUP!$A:$E,2,0),"")</f>
      </c>
      <c r="J183" s="15" t="s">
        <v>54</v>
      </c>
      <c r="K183" s="28">
        <v>0.21</v>
      </c>
      <c r="L183" s="15" t="s">
        <v>34</v>
      </c>
      <c r="M183" s="15" t="s">
        <v>101</v>
      </c>
      <c r="N183" s="15" t="s">
        <v>102</v>
      </c>
      <c r="O183" s="15" t="s">
        <v>103</v>
      </c>
      <c r="P183" s="15" t="s">
        <v>104</v>
      </c>
      <c r="Q183" s="15"/>
    </row>
    <row r="184" spans="1:17" x14ac:dyDescent="0.25">
      <c r="A184" s="14"/>
      <c r="B184" s="25"/>
      <c r="C184" s="25"/>
      <c r="D184" s="15"/>
      <c r="E184" s="15"/>
      <c r="F184" s="26">
        <f>IFERROR(VLOOKUP(L184,CARTON_LOOKUP!$A:$E,3,0),"")</f>
      </c>
      <c r="G184" s="26">
        <f>IFERROR(VLOOKUP(L184,CARTON_LOOKUP!$A:$E,4,0),"")</f>
      </c>
      <c r="H184" s="26">
        <f>IFERROR(VLOOKUP(L184,CARTON_LOOKUP!$A:$E,5,0),"")</f>
      </c>
      <c r="I184" s="27">
        <f>IFERROR(VLOOKUP(L184,CARTON_LOOKUP!$A:$E,2,0),"")</f>
      </c>
      <c r="J184" s="15" t="s">
        <v>54</v>
      </c>
      <c r="K184" s="28">
        <v>0.21</v>
      </c>
      <c r="L184" s="15" t="s">
        <v>34</v>
      </c>
      <c r="M184" s="15" t="s">
        <v>101</v>
      </c>
      <c r="N184" s="15" t="s">
        <v>102</v>
      </c>
      <c r="O184" s="15" t="s">
        <v>103</v>
      </c>
      <c r="P184" s="15" t="s">
        <v>104</v>
      </c>
      <c r="Q184" s="15"/>
    </row>
    <row r="185" spans="1:17" x14ac:dyDescent="0.25">
      <c r="A185" s="14"/>
      <c r="B185" s="25"/>
      <c r="C185" s="25"/>
      <c r="D185" s="15"/>
      <c r="E185" s="15"/>
      <c r="F185" s="26">
        <f>IFERROR(VLOOKUP(L185,CARTON_LOOKUP!$A:$E,3,0),"")</f>
      </c>
      <c r="G185" s="26">
        <f>IFERROR(VLOOKUP(L185,CARTON_LOOKUP!$A:$E,4,0),"")</f>
      </c>
      <c r="H185" s="26">
        <f>IFERROR(VLOOKUP(L185,CARTON_LOOKUP!$A:$E,5,0),"")</f>
      </c>
      <c r="I185" s="27">
        <f>IFERROR(VLOOKUP(L185,CARTON_LOOKUP!$A:$E,2,0),"")</f>
      </c>
      <c r="J185" s="15" t="s">
        <v>54</v>
      </c>
      <c r="K185" s="28">
        <v>0.21</v>
      </c>
      <c r="L185" s="15" t="s">
        <v>34</v>
      </c>
      <c r="M185" s="15" t="s">
        <v>101</v>
      </c>
      <c r="N185" s="15" t="s">
        <v>102</v>
      </c>
      <c r="O185" s="15" t="s">
        <v>103</v>
      </c>
      <c r="P185" s="15" t="s">
        <v>104</v>
      </c>
      <c r="Q185" s="15"/>
    </row>
    <row r="186" spans="1:17" x14ac:dyDescent="0.25">
      <c r="A186" s="14"/>
      <c r="B186" s="25"/>
      <c r="C186" s="25"/>
      <c r="D186" s="15"/>
      <c r="E186" s="15"/>
      <c r="F186" s="26">
        <f>IFERROR(VLOOKUP(L186,CARTON_LOOKUP!$A:$E,3,0),"")</f>
      </c>
      <c r="G186" s="26">
        <f>IFERROR(VLOOKUP(L186,CARTON_LOOKUP!$A:$E,4,0),"")</f>
      </c>
      <c r="H186" s="26">
        <f>IFERROR(VLOOKUP(L186,CARTON_LOOKUP!$A:$E,5,0),"")</f>
      </c>
      <c r="I186" s="27">
        <f>IFERROR(VLOOKUP(L186,CARTON_LOOKUP!$A:$E,2,0),"")</f>
      </c>
      <c r="J186" s="15" t="s">
        <v>54</v>
      </c>
      <c r="K186" s="28">
        <v>0.21</v>
      </c>
      <c r="L186" s="15" t="s">
        <v>34</v>
      </c>
      <c r="M186" s="15" t="s">
        <v>101</v>
      </c>
      <c r="N186" s="15" t="s">
        <v>102</v>
      </c>
      <c r="O186" s="15" t="s">
        <v>103</v>
      </c>
      <c r="P186" s="15" t="s">
        <v>104</v>
      </c>
      <c r="Q186" s="15"/>
    </row>
    <row r="187" spans="1:17" x14ac:dyDescent="0.25">
      <c r="A187" s="14"/>
      <c r="B187" s="25"/>
      <c r="C187" s="25"/>
      <c r="D187" s="15"/>
      <c r="E187" s="15"/>
      <c r="F187" s="26">
        <f>IFERROR(VLOOKUP(L187,CARTON_LOOKUP!$A:$E,3,0),"")</f>
      </c>
      <c r="G187" s="26">
        <f>IFERROR(VLOOKUP(L187,CARTON_LOOKUP!$A:$E,4,0),"")</f>
      </c>
      <c r="H187" s="26">
        <f>IFERROR(VLOOKUP(L187,CARTON_LOOKUP!$A:$E,5,0),"")</f>
      </c>
      <c r="I187" s="27">
        <f>IFERROR(VLOOKUP(L187,CARTON_LOOKUP!$A:$E,2,0),"")</f>
      </c>
      <c r="J187" s="15" t="s">
        <v>54</v>
      </c>
      <c r="K187" s="28">
        <v>0.21</v>
      </c>
      <c r="L187" s="15" t="s">
        <v>34</v>
      </c>
      <c r="M187" s="15" t="s">
        <v>101</v>
      </c>
      <c r="N187" s="15" t="s">
        <v>102</v>
      </c>
      <c r="O187" s="15" t="s">
        <v>103</v>
      </c>
      <c r="P187" s="15" t="s">
        <v>104</v>
      </c>
      <c r="Q187" s="15"/>
    </row>
    <row r="188" spans="1:17" x14ac:dyDescent="0.25">
      <c r="A188" s="14"/>
      <c r="B188" s="25"/>
      <c r="C188" s="25"/>
      <c r="D188" s="15"/>
      <c r="E188" s="15"/>
      <c r="F188" s="26">
        <f>IFERROR(VLOOKUP(L188,CARTON_LOOKUP!$A:$E,3,0),"")</f>
      </c>
      <c r="G188" s="26">
        <f>IFERROR(VLOOKUP(L188,CARTON_LOOKUP!$A:$E,4,0),"")</f>
      </c>
      <c r="H188" s="26">
        <f>IFERROR(VLOOKUP(L188,CARTON_LOOKUP!$A:$E,5,0),"")</f>
      </c>
      <c r="I188" s="27">
        <f>IFERROR(VLOOKUP(L188,CARTON_LOOKUP!$A:$E,2,0),"")</f>
      </c>
      <c r="J188" s="15" t="s">
        <v>54</v>
      </c>
      <c r="K188" s="28">
        <v>0.21</v>
      </c>
      <c r="L188" s="15" t="s">
        <v>34</v>
      </c>
      <c r="M188" s="15" t="s">
        <v>101</v>
      </c>
      <c r="N188" s="15" t="s">
        <v>102</v>
      </c>
      <c r="O188" s="15" t="s">
        <v>103</v>
      </c>
      <c r="P188" s="15" t="s">
        <v>104</v>
      </c>
      <c r="Q188" s="15"/>
    </row>
    <row r="189" spans="1:17" x14ac:dyDescent="0.25">
      <c r="A189" s="14"/>
      <c r="B189" s="25"/>
      <c r="C189" s="25"/>
      <c r="D189" s="15"/>
      <c r="E189" s="15"/>
      <c r="F189" s="26">
        <f>IFERROR(VLOOKUP(L189,CARTON_LOOKUP!$A:$E,3,0),"")</f>
      </c>
      <c r="G189" s="26">
        <f>IFERROR(VLOOKUP(L189,CARTON_LOOKUP!$A:$E,4,0),"")</f>
      </c>
      <c r="H189" s="26">
        <f>IFERROR(VLOOKUP(L189,CARTON_LOOKUP!$A:$E,5,0),"")</f>
      </c>
      <c r="I189" s="27">
        <f>IFERROR(VLOOKUP(L189,CARTON_LOOKUP!$A:$E,2,0),"")</f>
      </c>
      <c r="J189" s="15" t="s">
        <v>54</v>
      </c>
      <c r="K189" s="28">
        <v>0.21</v>
      </c>
      <c r="L189" s="15" t="s">
        <v>34</v>
      </c>
      <c r="M189" s="15" t="s">
        <v>101</v>
      </c>
      <c r="N189" s="15" t="s">
        <v>102</v>
      </c>
      <c r="O189" s="15" t="s">
        <v>103</v>
      </c>
      <c r="P189" s="15" t="s">
        <v>104</v>
      </c>
      <c r="Q189" s="15"/>
    </row>
    <row r="190" spans="1:17" x14ac:dyDescent="0.25">
      <c r="A190" s="14"/>
      <c r="B190" s="25"/>
      <c r="C190" s="25"/>
      <c r="D190" s="15"/>
      <c r="E190" s="15"/>
      <c r="F190" s="26">
        <f>IFERROR(VLOOKUP(L190,CARTON_LOOKUP!$A:$E,3,0),"")</f>
      </c>
      <c r="G190" s="26">
        <f>IFERROR(VLOOKUP(L190,CARTON_LOOKUP!$A:$E,4,0),"")</f>
      </c>
      <c r="H190" s="26">
        <f>IFERROR(VLOOKUP(L190,CARTON_LOOKUP!$A:$E,5,0),"")</f>
      </c>
      <c r="I190" s="27">
        <f>IFERROR(VLOOKUP(L190,CARTON_LOOKUP!$A:$E,2,0),"")</f>
      </c>
      <c r="J190" s="15" t="s">
        <v>54</v>
      </c>
      <c r="K190" s="28">
        <v>0.21</v>
      </c>
      <c r="L190" s="15" t="s">
        <v>34</v>
      </c>
      <c r="M190" s="15" t="s">
        <v>101</v>
      </c>
      <c r="N190" s="15" t="s">
        <v>102</v>
      </c>
      <c r="O190" s="15" t="s">
        <v>103</v>
      </c>
      <c r="P190" s="15" t="s">
        <v>104</v>
      </c>
      <c r="Q190" s="15"/>
    </row>
    <row r="191" spans="1:17" x14ac:dyDescent="0.25">
      <c r="A191" s="14"/>
      <c r="B191" s="25"/>
      <c r="C191" s="25"/>
      <c r="D191" s="15"/>
      <c r="E191" s="15"/>
      <c r="F191" s="26">
        <f>IFERROR(VLOOKUP(L191,CARTON_LOOKUP!$A:$E,3,0),"")</f>
      </c>
      <c r="G191" s="26">
        <f>IFERROR(VLOOKUP(L191,CARTON_LOOKUP!$A:$E,4,0),"")</f>
      </c>
      <c r="H191" s="26">
        <f>IFERROR(VLOOKUP(L191,CARTON_LOOKUP!$A:$E,5,0),"")</f>
      </c>
      <c r="I191" s="27">
        <f>IFERROR(VLOOKUP(L191,CARTON_LOOKUP!$A:$E,2,0),"")</f>
      </c>
      <c r="J191" s="15" t="s">
        <v>54</v>
      </c>
      <c r="K191" s="28">
        <v>0.21</v>
      </c>
      <c r="L191" s="15" t="s">
        <v>34</v>
      </c>
      <c r="M191" s="15" t="s">
        <v>101</v>
      </c>
      <c r="N191" s="15" t="s">
        <v>102</v>
      </c>
      <c r="O191" s="15" t="s">
        <v>103</v>
      </c>
      <c r="P191" s="15" t="s">
        <v>104</v>
      </c>
      <c r="Q191" s="15"/>
    </row>
    <row r="192" spans="1:17" x14ac:dyDescent="0.25">
      <c r="A192" s="14"/>
      <c r="B192" s="25"/>
      <c r="C192" s="25"/>
      <c r="D192" s="15"/>
      <c r="E192" s="15"/>
      <c r="F192" s="26">
        <f>IFERROR(VLOOKUP(L192,CARTON_LOOKUP!$A:$E,3,0),"")</f>
      </c>
      <c r="G192" s="26">
        <f>IFERROR(VLOOKUP(L192,CARTON_LOOKUP!$A:$E,4,0),"")</f>
      </c>
      <c r="H192" s="26">
        <f>IFERROR(VLOOKUP(L192,CARTON_LOOKUP!$A:$E,5,0),"")</f>
      </c>
      <c r="I192" s="27">
        <f>IFERROR(VLOOKUP(L192,CARTON_LOOKUP!$A:$E,2,0),"")</f>
      </c>
      <c r="J192" s="15" t="s">
        <v>54</v>
      </c>
      <c r="K192" s="28">
        <v>0.21</v>
      </c>
      <c r="L192" s="15" t="s">
        <v>34</v>
      </c>
      <c r="M192" s="15" t="s">
        <v>101</v>
      </c>
      <c r="N192" s="15" t="s">
        <v>102</v>
      </c>
      <c r="O192" s="15" t="s">
        <v>103</v>
      </c>
      <c r="P192" s="15" t="s">
        <v>104</v>
      </c>
      <c r="Q192" s="15"/>
    </row>
    <row r="193" spans="1:17" x14ac:dyDescent="0.25">
      <c r="A193" s="14"/>
      <c r="B193" s="25"/>
      <c r="C193" s="25"/>
      <c r="D193" s="15"/>
      <c r="E193" s="15"/>
      <c r="F193" s="26">
        <f>IFERROR(VLOOKUP(L193,CARTON_LOOKUP!$A:$E,3,0),"")</f>
      </c>
      <c r="G193" s="26">
        <f>IFERROR(VLOOKUP(L193,CARTON_LOOKUP!$A:$E,4,0),"")</f>
      </c>
      <c r="H193" s="26">
        <f>IFERROR(VLOOKUP(L193,CARTON_LOOKUP!$A:$E,5,0),"")</f>
      </c>
      <c r="I193" s="27">
        <f>IFERROR(VLOOKUP(L193,CARTON_LOOKUP!$A:$E,2,0),"")</f>
      </c>
      <c r="J193" s="15" t="s">
        <v>54</v>
      </c>
      <c r="K193" s="28">
        <v>0.21</v>
      </c>
      <c r="L193" s="15" t="s">
        <v>34</v>
      </c>
      <c r="M193" s="15" t="s">
        <v>101</v>
      </c>
      <c r="N193" s="15" t="s">
        <v>102</v>
      </c>
      <c r="O193" s="15" t="s">
        <v>103</v>
      </c>
      <c r="P193" s="15" t="s">
        <v>104</v>
      </c>
      <c r="Q193" s="15"/>
    </row>
    <row r="194" spans="1:17" x14ac:dyDescent="0.25">
      <c r="A194" s="14"/>
      <c r="B194" s="25"/>
      <c r="C194" s="25"/>
      <c r="D194" s="15"/>
      <c r="E194" s="15"/>
      <c r="F194" s="26">
        <f>IFERROR(VLOOKUP(L194,CARTON_LOOKUP!$A:$E,3,0),"")</f>
      </c>
      <c r="G194" s="26">
        <f>IFERROR(VLOOKUP(L194,CARTON_LOOKUP!$A:$E,4,0),"")</f>
      </c>
      <c r="H194" s="26">
        <f>IFERROR(VLOOKUP(L194,CARTON_LOOKUP!$A:$E,5,0),"")</f>
      </c>
      <c r="I194" s="27">
        <f>IFERROR(VLOOKUP(L194,CARTON_LOOKUP!$A:$E,2,0),"")</f>
      </c>
      <c r="J194" s="15" t="s">
        <v>54</v>
      </c>
      <c r="K194" s="28">
        <v>0.21</v>
      </c>
      <c r="L194" s="15" t="s">
        <v>34</v>
      </c>
      <c r="M194" s="15" t="s">
        <v>101</v>
      </c>
      <c r="N194" s="15" t="s">
        <v>102</v>
      </c>
      <c r="O194" s="15" t="s">
        <v>103</v>
      </c>
      <c r="P194" s="15" t="s">
        <v>104</v>
      </c>
      <c r="Q194" s="15"/>
    </row>
    <row r="195" spans="1:17" x14ac:dyDescent="0.25">
      <c r="A195" s="14"/>
      <c r="B195" s="25"/>
      <c r="C195" s="25"/>
      <c r="D195" s="15"/>
      <c r="E195" s="15"/>
      <c r="F195" s="26">
        <f>IFERROR(VLOOKUP(L195,CARTON_LOOKUP!$A:$E,3,0),"")</f>
      </c>
      <c r="G195" s="26">
        <f>IFERROR(VLOOKUP(L195,CARTON_LOOKUP!$A:$E,4,0),"")</f>
      </c>
      <c r="H195" s="26">
        <f>IFERROR(VLOOKUP(L195,CARTON_LOOKUP!$A:$E,5,0),"")</f>
      </c>
      <c r="I195" s="27">
        <f>IFERROR(VLOOKUP(L195,CARTON_LOOKUP!$A:$E,2,0),"")</f>
      </c>
      <c r="J195" s="15" t="s">
        <v>54</v>
      </c>
      <c r="K195" s="28">
        <v>0.21</v>
      </c>
      <c r="L195" s="15" t="s">
        <v>34</v>
      </c>
      <c r="M195" s="15" t="s">
        <v>101</v>
      </c>
      <c r="N195" s="15" t="s">
        <v>102</v>
      </c>
      <c r="O195" s="15" t="s">
        <v>103</v>
      </c>
      <c r="P195" s="15" t="s">
        <v>104</v>
      </c>
      <c r="Q195" s="15"/>
    </row>
    <row r="196" spans="1:17" x14ac:dyDescent="0.25">
      <c r="A196" s="14"/>
      <c r="B196" s="25"/>
      <c r="C196" s="25"/>
      <c r="D196" s="15"/>
      <c r="E196" s="15"/>
      <c r="F196" s="26">
        <f>IFERROR(VLOOKUP(L196,CARTON_LOOKUP!$A:$E,3,0),"")</f>
      </c>
      <c r="G196" s="26">
        <f>IFERROR(VLOOKUP(L196,CARTON_LOOKUP!$A:$E,4,0),"")</f>
      </c>
      <c r="H196" s="26">
        <f>IFERROR(VLOOKUP(L196,CARTON_LOOKUP!$A:$E,5,0),"")</f>
      </c>
      <c r="I196" s="27">
        <f>IFERROR(VLOOKUP(L196,CARTON_LOOKUP!$A:$E,2,0),"")</f>
      </c>
      <c r="J196" s="15" t="s">
        <v>54</v>
      </c>
      <c r="K196" s="28">
        <v>0.21</v>
      </c>
      <c r="L196" s="15" t="s">
        <v>34</v>
      </c>
      <c r="M196" s="15" t="s">
        <v>101</v>
      </c>
      <c r="N196" s="15" t="s">
        <v>102</v>
      </c>
      <c r="O196" s="15" t="s">
        <v>103</v>
      </c>
      <c r="P196" s="15" t="s">
        <v>104</v>
      </c>
      <c r="Q196" s="15"/>
    </row>
    <row r="197" spans="1:17" x14ac:dyDescent="0.25">
      <c r="A197" s="14"/>
      <c r="B197" s="25"/>
      <c r="C197" s="25"/>
      <c r="D197" s="15"/>
      <c r="E197" s="15"/>
      <c r="F197" s="26">
        <f>IFERROR(VLOOKUP(L197,CARTON_LOOKUP!$A:$E,3,0),"")</f>
      </c>
      <c r="G197" s="26">
        <f>IFERROR(VLOOKUP(L197,CARTON_LOOKUP!$A:$E,4,0),"")</f>
      </c>
      <c r="H197" s="26">
        <f>IFERROR(VLOOKUP(L197,CARTON_LOOKUP!$A:$E,5,0),"")</f>
      </c>
      <c r="I197" s="27">
        <f>IFERROR(VLOOKUP(L197,CARTON_LOOKUP!$A:$E,2,0),"")</f>
      </c>
      <c r="J197" s="15" t="s">
        <v>54</v>
      </c>
      <c r="K197" s="28">
        <v>0.21</v>
      </c>
      <c r="L197" s="15" t="s">
        <v>34</v>
      </c>
      <c r="M197" s="15" t="s">
        <v>101</v>
      </c>
      <c r="N197" s="15" t="s">
        <v>102</v>
      </c>
      <c r="O197" s="15" t="s">
        <v>103</v>
      </c>
      <c r="P197" s="15" t="s">
        <v>104</v>
      </c>
      <c r="Q197" s="15"/>
    </row>
    <row r="198" spans="1:17" x14ac:dyDescent="0.25">
      <c r="A198" s="14"/>
      <c r="B198" s="25"/>
      <c r="C198" s="25"/>
      <c r="D198" s="15"/>
      <c r="E198" s="15"/>
      <c r="F198" s="26">
        <f>IFERROR(VLOOKUP(L198,CARTON_LOOKUP!$A:$E,3,0),"")</f>
      </c>
      <c r="G198" s="26">
        <f>IFERROR(VLOOKUP(L198,CARTON_LOOKUP!$A:$E,4,0),"")</f>
      </c>
      <c r="H198" s="26">
        <f>IFERROR(VLOOKUP(L198,CARTON_LOOKUP!$A:$E,5,0),"")</f>
      </c>
      <c r="I198" s="27">
        <f>IFERROR(VLOOKUP(L198,CARTON_LOOKUP!$A:$E,2,0),"")</f>
      </c>
      <c r="J198" s="15" t="s">
        <v>54</v>
      </c>
      <c r="K198" s="28">
        <v>0.21</v>
      </c>
      <c r="L198" s="15" t="s">
        <v>34</v>
      </c>
      <c r="M198" s="15" t="s">
        <v>101</v>
      </c>
      <c r="N198" s="15" t="s">
        <v>102</v>
      </c>
      <c r="O198" s="15" t="s">
        <v>103</v>
      </c>
      <c r="P198" s="15" t="s">
        <v>104</v>
      </c>
      <c r="Q198" s="15"/>
    </row>
    <row r="199" spans="1:17" x14ac:dyDescent="0.25">
      <c r="A199" s="14"/>
      <c r="B199" s="25"/>
      <c r="C199" s="25"/>
      <c r="D199" s="15"/>
      <c r="E199" s="15"/>
      <c r="F199" s="26">
        <f>IFERROR(VLOOKUP(L199,CARTON_LOOKUP!$A:$E,3,0),"")</f>
      </c>
      <c r="G199" s="26">
        <f>IFERROR(VLOOKUP(L199,CARTON_LOOKUP!$A:$E,4,0),"")</f>
      </c>
      <c r="H199" s="26">
        <f>IFERROR(VLOOKUP(L199,CARTON_LOOKUP!$A:$E,5,0),"")</f>
      </c>
      <c r="I199" s="27">
        <f>IFERROR(VLOOKUP(L199,CARTON_LOOKUP!$A:$E,2,0),"")</f>
      </c>
      <c r="J199" s="15" t="s">
        <v>54</v>
      </c>
      <c r="K199" s="28">
        <v>0.21</v>
      </c>
      <c r="L199" s="15" t="s">
        <v>34</v>
      </c>
      <c r="M199" s="15" t="s">
        <v>101</v>
      </c>
      <c r="N199" s="15" t="s">
        <v>102</v>
      </c>
      <c r="O199" s="15" t="s">
        <v>103</v>
      </c>
      <c r="P199" s="15" t="s">
        <v>104</v>
      </c>
      <c r="Q199" s="15"/>
    </row>
    <row r="200" spans="1:17" x14ac:dyDescent="0.25">
      <c r="A200" s="14"/>
      <c r="B200" s="25"/>
      <c r="C200" s="25"/>
      <c r="D200" s="15"/>
      <c r="E200" s="15"/>
      <c r="F200" s="26">
        <f>IFERROR(VLOOKUP(L200,CARTON_LOOKUP!$A:$E,3,0),"")</f>
      </c>
      <c r="G200" s="26">
        <f>IFERROR(VLOOKUP(L200,CARTON_LOOKUP!$A:$E,4,0),"")</f>
      </c>
      <c r="H200" s="26">
        <f>IFERROR(VLOOKUP(L200,CARTON_LOOKUP!$A:$E,5,0),"")</f>
      </c>
      <c r="I200" s="27">
        <f>IFERROR(VLOOKUP(L200,CARTON_LOOKUP!$A:$E,2,0),"")</f>
      </c>
      <c r="J200" s="15" t="s">
        <v>54</v>
      </c>
      <c r="K200" s="28">
        <v>0.21</v>
      </c>
      <c r="L200" s="15" t="s">
        <v>34</v>
      </c>
      <c r="M200" s="15" t="s">
        <v>101</v>
      </c>
      <c r="N200" s="15" t="s">
        <v>102</v>
      </c>
      <c r="O200" s="15" t="s">
        <v>103</v>
      </c>
      <c r="P200" s="15" t="s">
        <v>104</v>
      </c>
      <c r="Q200" s="15"/>
    </row>
    <row r="201" spans="1:17" x14ac:dyDescent="0.25">
      <c r="A201" s="14"/>
      <c r="B201" s="25"/>
      <c r="C201" s="25"/>
      <c r="D201" s="15"/>
      <c r="E201" s="15"/>
      <c r="F201" s="26">
        <f>IFERROR(VLOOKUP(L201,CARTON_LOOKUP!$A:$E,3,0),"")</f>
      </c>
      <c r="G201" s="26">
        <f>IFERROR(VLOOKUP(L201,CARTON_LOOKUP!$A:$E,4,0),"")</f>
      </c>
      <c r="H201" s="26">
        <f>IFERROR(VLOOKUP(L201,CARTON_LOOKUP!$A:$E,5,0),"")</f>
      </c>
      <c r="I201" s="27">
        <f>IFERROR(VLOOKUP(L201,CARTON_LOOKUP!$A:$E,2,0),"")</f>
      </c>
      <c r="J201" s="15" t="s">
        <v>54</v>
      </c>
      <c r="K201" s="28">
        <v>0.21</v>
      </c>
      <c r="L201" s="15" t="s">
        <v>34</v>
      </c>
      <c r="M201" s="15" t="s">
        <v>101</v>
      </c>
      <c r="N201" s="15" t="s">
        <v>102</v>
      </c>
      <c r="O201" s="15" t="s">
        <v>103</v>
      </c>
      <c r="P201" s="15" t="s">
        <v>104</v>
      </c>
      <c r="Q201" s="15"/>
    </row>
    <row r="202" spans="1:17" x14ac:dyDescent="0.25">
      <c r="A202" s="14"/>
      <c r="B202" s="25"/>
      <c r="C202" s="25"/>
      <c r="D202" s="15"/>
      <c r="E202" s="15"/>
      <c r="F202" s="26">
        <f>IFERROR(VLOOKUP(L202,CARTON_LOOKUP!$A:$E,3,0),"")</f>
      </c>
      <c r="G202" s="26">
        <f>IFERROR(VLOOKUP(L202,CARTON_LOOKUP!$A:$E,4,0),"")</f>
      </c>
      <c r="H202" s="26">
        <f>IFERROR(VLOOKUP(L202,CARTON_LOOKUP!$A:$E,5,0),"")</f>
      </c>
      <c r="I202" s="27">
        <f>IFERROR(VLOOKUP(L202,CARTON_LOOKUP!$A:$E,2,0),"")</f>
      </c>
      <c r="J202" s="15" t="s">
        <v>54</v>
      </c>
      <c r="K202" s="28">
        <v>0.21</v>
      </c>
      <c r="L202" s="15" t="s">
        <v>34</v>
      </c>
      <c r="M202" s="15" t="s">
        <v>101</v>
      </c>
      <c r="N202" s="15" t="s">
        <v>102</v>
      </c>
      <c r="O202" s="15" t="s">
        <v>103</v>
      </c>
      <c r="P202" s="15" t="s">
        <v>104</v>
      </c>
      <c r="Q202" s="15"/>
    </row>
    <row r="203" spans="1:17" x14ac:dyDescent="0.25">
      <c r="A203" s="14"/>
      <c r="B203" s="25"/>
      <c r="C203" s="25"/>
      <c r="D203" s="15"/>
      <c r="E203" s="15"/>
      <c r="F203" s="26">
        <f>IFERROR(VLOOKUP(L203,CARTON_LOOKUP!$A:$E,3,0),"")</f>
      </c>
      <c r="G203" s="26">
        <f>IFERROR(VLOOKUP(L203,CARTON_LOOKUP!$A:$E,4,0),"")</f>
      </c>
      <c r="H203" s="26">
        <f>IFERROR(VLOOKUP(L203,CARTON_LOOKUP!$A:$E,5,0),"")</f>
      </c>
      <c r="I203" s="27">
        <f>IFERROR(VLOOKUP(L203,CARTON_LOOKUP!$A:$E,2,0),"")</f>
      </c>
      <c r="J203" s="15" t="s">
        <v>54</v>
      </c>
      <c r="K203" s="28">
        <v>0.21</v>
      </c>
      <c r="L203" s="15" t="s">
        <v>34</v>
      </c>
      <c r="M203" s="15" t="s">
        <v>101</v>
      </c>
      <c r="N203" s="15" t="s">
        <v>102</v>
      </c>
      <c r="O203" s="15" t="s">
        <v>103</v>
      </c>
      <c r="P203" s="15" t="s">
        <v>104</v>
      </c>
      <c r="Q203" s="15"/>
    </row>
    <row r="204" spans="1:17" x14ac:dyDescent="0.25">
      <c r="A204" s="14"/>
      <c r="B204" s="25"/>
      <c r="C204" s="25"/>
      <c r="D204" s="15"/>
      <c r="E204" s="15"/>
      <c r="F204" s="26">
        <f>IFERROR(VLOOKUP(L204,CARTON_LOOKUP!$A:$E,3,0),"")</f>
      </c>
      <c r="G204" s="26">
        <f>IFERROR(VLOOKUP(L204,CARTON_LOOKUP!$A:$E,4,0),"")</f>
      </c>
      <c r="H204" s="26">
        <f>IFERROR(VLOOKUP(L204,CARTON_LOOKUP!$A:$E,5,0),"")</f>
      </c>
      <c r="I204" s="27">
        <f>IFERROR(VLOOKUP(L204,CARTON_LOOKUP!$A:$E,2,0),"")</f>
      </c>
      <c r="J204" s="15" t="s">
        <v>54</v>
      </c>
      <c r="K204" s="28">
        <v>0.21</v>
      </c>
      <c r="L204" s="15" t="s">
        <v>34</v>
      </c>
      <c r="M204" s="15" t="s">
        <v>101</v>
      </c>
      <c r="N204" s="15" t="s">
        <v>102</v>
      </c>
      <c r="O204" s="15" t="s">
        <v>103</v>
      </c>
      <c r="P204" s="15" t="s">
        <v>104</v>
      </c>
      <c r="Q204" s="15"/>
    </row>
    <row r="205" spans="1:17" x14ac:dyDescent="0.25">
      <c r="A205" s="14"/>
      <c r="B205" s="25"/>
      <c r="C205" s="25"/>
      <c r="D205" s="15"/>
      <c r="E205" s="15"/>
      <c r="F205" s="26">
        <f>IFERROR(VLOOKUP(L205,CARTON_LOOKUP!$A:$E,3,0),"")</f>
      </c>
      <c r="G205" s="26">
        <f>IFERROR(VLOOKUP(L205,CARTON_LOOKUP!$A:$E,4,0),"")</f>
      </c>
      <c r="H205" s="26">
        <f>IFERROR(VLOOKUP(L205,CARTON_LOOKUP!$A:$E,5,0),"")</f>
      </c>
      <c r="I205" s="27">
        <f>IFERROR(VLOOKUP(L205,CARTON_LOOKUP!$A:$E,2,0),"")</f>
      </c>
      <c r="J205" s="15" t="s">
        <v>54</v>
      </c>
      <c r="K205" s="28">
        <v>0.21</v>
      </c>
      <c r="L205" s="15" t="s">
        <v>34</v>
      </c>
      <c r="M205" s="15" t="s">
        <v>101</v>
      </c>
      <c r="N205" s="15" t="s">
        <v>102</v>
      </c>
      <c r="O205" s="15" t="s">
        <v>103</v>
      </c>
      <c r="P205" s="15" t="s">
        <v>104</v>
      </c>
      <c r="Q205" s="15"/>
    </row>
    <row r="206" spans="1:17" x14ac:dyDescent="0.25">
      <c r="A206" s="14"/>
      <c r="B206" s="25"/>
      <c r="C206" s="25"/>
      <c r="D206" s="15"/>
      <c r="E206" s="15"/>
      <c r="F206" s="26">
        <f>IFERROR(VLOOKUP(L206,CARTON_LOOKUP!$A:$E,3,0),"")</f>
      </c>
      <c r="G206" s="26">
        <f>IFERROR(VLOOKUP(L206,CARTON_LOOKUP!$A:$E,4,0),"")</f>
      </c>
      <c r="H206" s="26">
        <f>IFERROR(VLOOKUP(L206,CARTON_LOOKUP!$A:$E,5,0),"")</f>
      </c>
      <c r="I206" s="27">
        <f>IFERROR(VLOOKUP(L206,CARTON_LOOKUP!$A:$E,2,0),"")</f>
      </c>
      <c r="J206" s="15" t="s">
        <v>54</v>
      </c>
      <c r="K206" s="28">
        <v>0.21</v>
      </c>
      <c r="L206" s="15" t="s">
        <v>34</v>
      </c>
      <c r="M206" s="15" t="s">
        <v>101</v>
      </c>
      <c r="N206" s="15" t="s">
        <v>102</v>
      </c>
      <c r="O206" s="15" t="s">
        <v>103</v>
      </c>
      <c r="P206" s="15" t="s">
        <v>104</v>
      </c>
      <c r="Q206" s="15"/>
    </row>
    <row r="207" spans="1:17" x14ac:dyDescent="0.25">
      <c r="A207" s="14"/>
      <c r="B207" s="25"/>
      <c r="C207" s="25"/>
      <c r="D207" s="15"/>
      <c r="E207" s="15"/>
      <c r="F207" s="26">
        <f>IFERROR(VLOOKUP(L207,CARTON_LOOKUP!$A:$E,3,0),"")</f>
      </c>
      <c r="G207" s="26">
        <f>IFERROR(VLOOKUP(L207,CARTON_LOOKUP!$A:$E,4,0),"")</f>
      </c>
      <c r="H207" s="26">
        <f>IFERROR(VLOOKUP(L207,CARTON_LOOKUP!$A:$E,5,0),"")</f>
      </c>
      <c r="I207" s="27">
        <f>IFERROR(VLOOKUP(L207,CARTON_LOOKUP!$A:$E,2,0),"")</f>
      </c>
      <c r="J207" s="15" t="s">
        <v>54</v>
      </c>
      <c r="K207" s="28">
        <v>0.21</v>
      </c>
      <c r="L207" s="15" t="s">
        <v>34</v>
      </c>
      <c r="M207" s="15" t="s">
        <v>101</v>
      </c>
      <c r="N207" s="15" t="s">
        <v>102</v>
      </c>
      <c r="O207" s="15" t="s">
        <v>103</v>
      </c>
      <c r="P207" s="15" t="s">
        <v>104</v>
      </c>
      <c r="Q207" s="15"/>
    </row>
    <row r="208" spans="1:17" x14ac:dyDescent="0.25">
      <c r="A208" s="14"/>
      <c r="B208" s="25"/>
      <c r="C208" s="25"/>
      <c r="D208" s="15"/>
      <c r="E208" s="15"/>
      <c r="F208" s="26">
        <f>IFERROR(VLOOKUP(L208,CARTON_LOOKUP!$A:$E,3,0),"")</f>
      </c>
      <c r="G208" s="26">
        <f>IFERROR(VLOOKUP(L208,CARTON_LOOKUP!$A:$E,4,0),"")</f>
      </c>
      <c r="H208" s="26">
        <f>IFERROR(VLOOKUP(L208,CARTON_LOOKUP!$A:$E,5,0),"")</f>
      </c>
      <c r="I208" s="27">
        <f>IFERROR(VLOOKUP(L208,CARTON_LOOKUP!$A:$E,2,0),"")</f>
      </c>
      <c r="J208" s="15" t="s">
        <v>54</v>
      </c>
      <c r="K208" s="28">
        <v>0.21</v>
      </c>
      <c r="L208" s="15" t="s">
        <v>34</v>
      </c>
      <c r="M208" s="15" t="s">
        <v>101</v>
      </c>
      <c r="N208" s="15" t="s">
        <v>102</v>
      </c>
      <c r="O208" s="15" t="s">
        <v>103</v>
      </c>
      <c r="P208" s="15" t="s">
        <v>104</v>
      </c>
      <c r="Q208" s="15"/>
    </row>
    <row r="209" spans="1:17" x14ac:dyDescent="0.25">
      <c r="A209" s="14"/>
      <c r="B209" s="25"/>
      <c r="C209" s="25"/>
      <c r="D209" s="15"/>
      <c r="E209" s="15"/>
      <c r="F209" s="26">
        <f>IFERROR(VLOOKUP(L209,CARTON_LOOKUP!$A:$E,3,0),"")</f>
      </c>
      <c r="G209" s="26">
        <f>IFERROR(VLOOKUP(L209,CARTON_LOOKUP!$A:$E,4,0),"")</f>
      </c>
      <c r="H209" s="26">
        <f>IFERROR(VLOOKUP(L209,CARTON_LOOKUP!$A:$E,5,0),"")</f>
      </c>
      <c r="I209" s="27">
        <f>IFERROR(VLOOKUP(L209,CARTON_LOOKUP!$A:$E,2,0),"")</f>
      </c>
      <c r="J209" s="15" t="s">
        <v>54</v>
      </c>
      <c r="K209" s="28">
        <v>0.21</v>
      </c>
      <c r="L209" s="15" t="s">
        <v>34</v>
      </c>
      <c r="M209" s="15" t="s">
        <v>101</v>
      </c>
      <c r="N209" s="15" t="s">
        <v>102</v>
      </c>
      <c r="O209" s="15" t="s">
        <v>103</v>
      </c>
      <c r="P209" s="15" t="s">
        <v>104</v>
      </c>
      <c r="Q209" s="15"/>
    </row>
    <row r="210" spans="1:17" x14ac:dyDescent="0.25">
      <c r="A210" s="14"/>
      <c r="B210" s="25"/>
      <c r="C210" s="25"/>
      <c r="D210" s="15"/>
      <c r="E210" s="15"/>
      <c r="F210" s="26">
        <f>IFERROR(VLOOKUP(L210,CARTON_LOOKUP!$A:$E,3,0),"")</f>
      </c>
      <c r="G210" s="26">
        <f>IFERROR(VLOOKUP(L210,CARTON_LOOKUP!$A:$E,4,0),"")</f>
      </c>
      <c r="H210" s="26">
        <f>IFERROR(VLOOKUP(L210,CARTON_LOOKUP!$A:$E,5,0),"")</f>
      </c>
      <c r="I210" s="27">
        <f>IFERROR(VLOOKUP(L210,CARTON_LOOKUP!$A:$E,2,0),"")</f>
      </c>
      <c r="J210" s="15" t="s">
        <v>54</v>
      </c>
      <c r="K210" s="28">
        <v>0.21</v>
      </c>
      <c r="L210" s="15" t="s">
        <v>34</v>
      </c>
      <c r="M210" s="15" t="s">
        <v>101</v>
      </c>
      <c r="N210" s="15" t="s">
        <v>102</v>
      </c>
      <c r="O210" s="15" t="s">
        <v>103</v>
      </c>
      <c r="P210" s="15" t="s">
        <v>104</v>
      </c>
      <c r="Q210" s="15"/>
    </row>
    <row r="211" spans="1:17" x14ac:dyDescent="0.25">
      <c r="A211" s="14"/>
      <c r="B211" s="25"/>
      <c r="C211" s="25"/>
      <c r="D211" s="15"/>
      <c r="E211" s="15"/>
      <c r="F211" s="26">
        <f>IFERROR(VLOOKUP(L211,CARTON_LOOKUP!$A:$E,3,0),"")</f>
      </c>
      <c r="G211" s="26">
        <f>IFERROR(VLOOKUP(L211,CARTON_LOOKUP!$A:$E,4,0),"")</f>
      </c>
      <c r="H211" s="26">
        <f>IFERROR(VLOOKUP(L211,CARTON_LOOKUP!$A:$E,5,0),"")</f>
      </c>
      <c r="I211" s="27">
        <f>IFERROR(VLOOKUP(L211,CARTON_LOOKUP!$A:$E,2,0),"")</f>
      </c>
      <c r="J211" s="15" t="s">
        <v>54</v>
      </c>
      <c r="K211" s="28">
        <v>0.21</v>
      </c>
      <c r="L211" s="15" t="s">
        <v>34</v>
      </c>
      <c r="M211" s="15" t="s">
        <v>101</v>
      </c>
      <c r="N211" s="15" t="s">
        <v>102</v>
      </c>
      <c r="O211" s="15" t="s">
        <v>103</v>
      </c>
      <c r="P211" s="15" t="s">
        <v>104</v>
      </c>
      <c r="Q211" s="15"/>
    </row>
    <row r="212" spans="1:17" x14ac:dyDescent="0.25">
      <c r="A212" s="14"/>
      <c r="B212" s="25"/>
      <c r="C212" s="25"/>
      <c r="D212" s="15"/>
      <c r="E212" s="15"/>
      <c r="F212" s="26">
        <f>IFERROR(VLOOKUP(L212,CARTON_LOOKUP!$A:$E,3,0),"")</f>
      </c>
      <c r="G212" s="26">
        <f>IFERROR(VLOOKUP(L212,CARTON_LOOKUP!$A:$E,4,0),"")</f>
      </c>
      <c r="H212" s="26">
        <f>IFERROR(VLOOKUP(L212,CARTON_LOOKUP!$A:$E,5,0),"")</f>
      </c>
      <c r="I212" s="27">
        <f>IFERROR(VLOOKUP(L212,CARTON_LOOKUP!$A:$E,2,0),"")</f>
      </c>
      <c r="J212" s="15" t="s">
        <v>54</v>
      </c>
      <c r="K212" s="28">
        <v>0.21</v>
      </c>
      <c r="L212" s="15" t="s">
        <v>34</v>
      </c>
      <c r="M212" s="15" t="s">
        <v>101</v>
      </c>
      <c r="N212" s="15" t="s">
        <v>102</v>
      </c>
      <c r="O212" s="15" t="s">
        <v>103</v>
      </c>
      <c r="P212" s="15" t="s">
        <v>104</v>
      </c>
      <c r="Q212" s="15"/>
    </row>
    <row r="213" spans="1:17" x14ac:dyDescent="0.25">
      <c r="A213" s="14"/>
      <c r="B213" s="25"/>
      <c r="C213" s="25"/>
      <c r="D213" s="15"/>
      <c r="E213" s="15"/>
      <c r="F213" s="26">
        <f>IFERROR(VLOOKUP(L213,CARTON_LOOKUP!$A:$E,3,0),"")</f>
      </c>
      <c r="G213" s="26">
        <f>IFERROR(VLOOKUP(L213,CARTON_LOOKUP!$A:$E,4,0),"")</f>
      </c>
      <c r="H213" s="26">
        <f>IFERROR(VLOOKUP(L213,CARTON_LOOKUP!$A:$E,5,0),"")</f>
      </c>
      <c r="I213" s="27">
        <f>IFERROR(VLOOKUP(L213,CARTON_LOOKUP!$A:$E,2,0),"")</f>
      </c>
      <c r="J213" s="15" t="s">
        <v>54</v>
      </c>
      <c r="K213" s="28">
        <v>0.21</v>
      </c>
      <c r="L213" s="15" t="s">
        <v>34</v>
      </c>
      <c r="M213" s="15" t="s">
        <v>101</v>
      </c>
      <c r="N213" s="15" t="s">
        <v>102</v>
      </c>
      <c r="O213" s="15" t="s">
        <v>103</v>
      </c>
      <c r="P213" s="15" t="s">
        <v>104</v>
      </c>
      <c r="Q213" s="15"/>
    </row>
    <row r="214" spans="1:17" x14ac:dyDescent="0.25">
      <c r="A214" s="14"/>
      <c r="B214" s="25"/>
      <c r="C214" s="25"/>
      <c r="D214" s="15"/>
      <c r="E214" s="15"/>
      <c r="F214" s="26">
        <f>IFERROR(VLOOKUP(L214,CARTON_LOOKUP!$A:$E,3,0),"")</f>
      </c>
      <c r="G214" s="26">
        <f>IFERROR(VLOOKUP(L214,CARTON_LOOKUP!$A:$E,4,0),"")</f>
      </c>
      <c r="H214" s="26">
        <f>IFERROR(VLOOKUP(L214,CARTON_LOOKUP!$A:$E,5,0),"")</f>
      </c>
      <c r="I214" s="27">
        <f>IFERROR(VLOOKUP(L214,CARTON_LOOKUP!$A:$E,2,0),"")</f>
      </c>
      <c r="J214" s="15" t="s">
        <v>54</v>
      </c>
      <c r="K214" s="28">
        <v>0.21</v>
      </c>
      <c r="L214" s="15" t="s">
        <v>34</v>
      </c>
      <c r="M214" s="15" t="s">
        <v>101</v>
      </c>
      <c r="N214" s="15" t="s">
        <v>102</v>
      </c>
      <c r="O214" s="15" t="s">
        <v>103</v>
      </c>
      <c r="P214" s="15" t="s">
        <v>104</v>
      </c>
      <c r="Q214" s="15"/>
    </row>
    <row r="215" spans="1:17" x14ac:dyDescent="0.25">
      <c r="A215" s="14"/>
      <c r="B215" s="25"/>
      <c r="C215" s="25"/>
      <c r="D215" s="15"/>
      <c r="E215" s="15"/>
      <c r="F215" s="26">
        <f>IFERROR(VLOOKUP(L215,CARTON_LOOKUP!$A:$E,3,0),"")</f>
      </c>
      <c r="G215" s="26">
        <f>IFERROR(VLOOKUP(L215,CARTON_LOOKUP!$A:$E,4,0),"")</f>
      </c>
      <c r="H215" s="26">
        <f>IFERROR(VLOOKUP(L215,CARTON_LOOKUP!$A:$E,5,0),"")</f>
      </c>
      <c r="I215" s="27">
        <f>IFERROR(VLOOKUP(L215,CARTON_LOOKUP!$A:$E,2,0),"")</f>
      </c>
      <c r="J215" s="15" t="s">
        <v>54</v>
      </c>
      <c r="K215" s="28">
        <v>0.21</v>
      </c>
      <c r="L215" s="15" t="s">
        <v>34</v>
      </c>
      <c r="M215" s="15" t="s">
        <v>101</v>
      </c>
      <c r="N215" s="15" t="s">
        <v>102</v>
      </c>
      <c r="O215" s="15" t="s">
        <v>103</v>
      </c>
      <c r="P215" s="15" t="s">
        <v>104</v>
      </c>
      <c r="Q215" s="15"/>
    </row>
    <row r="216" spans="1:17" x14ac:dyDescent="0.25">
      <c r="A216" s="14"/>
      <c r="B216" s="25"/>
      <c r="C216" s="25"/>
      <c r="D216" s="15"/>
      <c r="E216" s="15"/>
      <c r="F216" s="26">
        <f>IFERROR(VLOOKUP(L216,CARTON_LOOKUP!$A:$E,3,0),"")</f>
      </c>
      <c r="G216" s="26">
        <f>IFERROR(VLOOKUP(L216,CARTON_LOOKUP!$A:$E,4,0),"")</f>
      </c>
      <c r="H216" s="26">
        <f>IFERROR(VLOOKUP(L216,CARTON_LOOKUP!$A:$E,5,0),"")</f>
      </c>
      <c r="I216" s="27">
        <f>IFERROR(VLOOKUP(L216,CARTON_LOOKUP!$A:$E,2,0),"")</f>
      </c>
      <c r="J216" s="15" t="s">
        <v>54</v>
      </c>
      <c r="K216" s="28">
        <v>0.21</v>
      </c>
      <c r="L216" s="15" t="s">
        <v>34</v>
      </c>
      <c r="M216" s="15" t="s">
        <v>101</v>
      </c>
      <c r="N216" s="15" t="s">
        <v>102</v>
      </c>
      <c r="O216" s="15" t="s">
        <v>103</v>
      </c>
      <c r="P216" s="15" t="s">
        <v>104</v>
      </c>
      <c r="Q216" s="15"/>
    </row>
    <row r="217" spans="1:17" x14ac:dyDescent="0.25">
      <c r="A217" s="14"/>
      <c r="B217" s="25"/>
      <c r="C217" s="25"/>
      <c r="D217" s="15"/>
      <c r="E217" s="15"/>
      <c r="F217" s="26">
        <f>IFERROR(VLOOKUP(L217,CARTON_LOOKUP!$A:$E,3,0),"")</f>
      </c>
      <c r="G217" s="26">
        <f>IFERROR(VLOOKUP(L217,CARTON_LOOKUP!$A:$E,4,0),"")</f>
      </c>
      <c r="H217" s="26">
        <f>IFERROR(VLOOKUP(L217,CARTON_LOOKUP!$A:$E,5,0),"")</f>
      </c>
      <c r="I217" s="27">
        <f>IFERROR(VLOOKUP(L217,CARTON_LOOKUP!$A:$E,2,0),"")</f>
      </c>
      <c r="J217" s="15" t="s">
        <v>54</v>
      </c>
      <c r="K217" s="28">
        <v>0.21</v>
      </c>
      <c r="L217" s="15" t="s">
        <v>34</v>
      </c>
      <c r="M217" s="15" t="s">
        <v>101</v>
      </c>
      <c r="N217" s="15" t="s">
        <v>102</v>
      </c>
      <c r="O217" s="15" t="s">
        <v>103</v>
      </c>
      <c r="P217" s="15" t="s">
        <v>104</v>
      </c>
      <c r="Q217" s="15"/>
    </row>
    <row r="218" spans="1:17" x14ac:dyDescent="0.25">
      <c r="A218" s="14"/>
      <c r="B218" s="25"/>
      <c r="C218" s="25"/>
      <c r="D218" s="15"/>
      <c r="E218" s="15"/>
      <c r="F218" s="26">
        <f>IFERROR(VLOOKUP(L218,CARTON_LOOKUP!$A:$E,3,0),"")</f>
      </c>
      <c r="G218" s="26">
        <f>IFERROR(VLOOKUP(L218,CARTON_LOOKUP!$A:$E,4,0),"")</f>
      </c>
      <c r="H218" s="26">
        <f>IFERROR(VLOOKUP(L218,CARTON_LOOKUP!$A:$E,5,0),"")</f>
      </c>
      <c r="I218" s="27">
        <f>IFERROR(VLOOKUP(L218,CARTON_LOOKUP!$A:$E,2,0),"")</f>
      </c>
      <c r="J218" s="15" t="s">
        <v>54</v>
      </c>
      <c r="K218" s="28">
        <v>0.21</v>
      </c>
      <c r="L218" s="15" t="s">
        <v>34</v>
      </c>
      <c r="M218" s="15" t="s">
        <v>101</v>
      </c>
      <c r="N218" s="15" t="s">
        <v>102</v>
      </c>
      <c r="O218" s="15" t="s">
        <v>103</v>
      </c>
      <c r="P218" s="15" t="s">
        <v>104</v>
      </c>
      <c r="Q218" s="15"/>
    </row>
    <row r="219" spans="1:17" x14ac:dyDescent="0.25">
      <c r="A219" s="14"/>
      <c r="B219" s="25"/>
      <c r="C219" s="25"/>
      <c r="D219" s="15"/>
      <c r="E219" s="15"/>
      <c r="F219" s="26">
        <f>IFERROR(VLOOKUP(L219,CARTON_LOOKUP!$A:$E,3,0),"")</f>
      </c>
      <c r="G219" s="26">
        <f>IFERROR(VLOOKUP(L219,CARTON_LOOKUP!$A:$E,4,0),"")</f>
      </c>
      <c r="H219" s="26">
        <f>IFERROR(VLOOKUP(L219,CARTON_LOOKUP!$A:$E,5,0),"")</f>
      </c>
      <c r="I219" s="27">
        <f>IFERROR(VLOOKUP(L219,CARTON_LOOKUP!$A:$E,2,0),"")</f>
      </c>
      <c r="J219" s="15" t="s">
        <v>54</v>
      </c>
      <c r="K219" s="28">
        <v>0.21</v>
      </c>
      <c r="L219" s="15" t="s">
        <v>34</v>
      </c>
      <c r="M219" s="15" t="s">
        <v>101</v>
      </c>
      <c r="N219" s="15" t="s">
        <v>102</v>
      </c>
      <c r="O219" s="15" t="s">
        <v>103</v>
      </c>
      <c r="P219" s="15" t="s">
        <v>104</v>
      </c>
      <c r="Q219" s="15"/>
    </row>
    <row r="220" spans="1:17" x14ac:dyDescent="0.25">
      <c r="A220" s="14"/>
      <c r="B220" s="25"/>
      <c r="C220" s="25"/>
      <c r="D220" s="15"/>
      <c r="E220" s="15"/>
      <c r="F220" s="26">
        <f>IFERROR(VLOOKUP(L220,CARTON_LOOKUP!$A:$E,3,0),"")</f>
      </c>
      <c r="G220" s="26">
        <f>IFERROR(VLOOKUP(L220,CARTON_LOOKUP!$A:$E,4,0),"")</f>
      </c>
      <c r="H220" s="26">
        <f>IFERROR(VLOOKUP(L220,CARTON_LOOKUP!$A:$E,5,0),"")</f>
      </c>
      <c r="I220" s="27">
        <f>IFERROR(VLOOKUP(L220,CARTON_LOOKUP!$A:$E,2,0),"")</f>
      </c>
      <c r="J220" s="15" t="s">
        <v>54</v>
      </c>
      <c r="K220" s="28">
        <v>0.21</v>
      </c>
      <c r="L220" s="15" t="s">
        <v>34</v>
      </c>
      <c r="M220" s="15" t="s">
        <v>101</v>
      </c>
      <c r="N220" s="15" t="s">
        <v>102</v>
      </c>
      <c r="O220" s="15" t="s">
        <v>103</v>
      </c>
      <c r="P220" s="15" t="s">
        <v>104</v>
      </c>
      <c r="Q220" s="15"/>
    </row>
    <row r="221" spans="1:17" x14ac:dyDescent="0.25">
      <c r="A221" s="14"/>
      <c r="B221" s="25"/>
      <c r="C221" s="25"/>
      <c r="D221" s="15"/>
      <c r="E221" s="15"/>
      <c r="F221" s="26">
        <f>IFERROR(VLOOKUP(L221,CARTON_LOOKUP!$A:$E,3,0),"")</f>
      </c>
      <c r="G221" s="26">
        <f>IFERROR(VLOOKUP(L221,CARTON_LOOKUP!$A:$E,4,0),"")</f>
      </c>
      <c r="H221" s="26">
        <f>IFERROR(VLOOKUP(L221,CARTON_LOOKUP!$A:$E,5,0),"")</f>
      </c>
      <c r="I221" s="27">
        <f>IFERROR(VLOOKUP(L221,CARTON_LOOKUP!$A:$E,2,0),"")</f>
      </c>
      <c r="J221" s="15" t="s">
        <v>54</v>
      </c>
      <c r="K221" s="28">
        <v>0.21</v>
      </c>
      <c r="L221" s="15" t="s">
        <v>34</v>
      </c>
      <c r="M221" s="15" t="s">
        <v>101</v>
      </c>
      <c r="N221" s="15" t="s">
        <v>102</v>
      </c>
      <c r="O221" s="15" t="s">
        <v>103</v>
      </c>
      <c r="P221" s="15" t="s">
        <v>104</v>
      </c>
      <c r="Q221" s="15"/>
    </row>
    <row r="222" spans="1:17" x14ac:dyDescent="0.25">
      <c r="A222" s="14"/>
      <c r="B222" s="25"/>
      <c r="C222" s="25"/>
      <c r="D222" s="15"/>
      <c r="E222" s="15"/>
      <c r="F222" s="26">
        <f>IFERROR(VLOOKUP(L222,CARTON_LOOKUP!$A:$E,3,0),"")</f>
      </c>
      <c r="G222" s="26">
        <f>IFERROR(VLOOKUP(L222,CARTON_LOOKUP!$A:$E,4,0),"")</f>
      </c>
      <c r="H222" s="26">
        <f>IFERROR(VLOOKUP(L222,CARTON_LOOKUP!$A:$E,5,0),"")</f>
      </c>
      <c r="I222" s="27">
        <f>IFERROR(VLOOKUP(L222,CARTON_LOOKUP!$A:$E,2,0),"")</f>
      </c>
      <c r="J222" s="15" t="s">
        <v>54</v>
      </c>
      <c r="K222" s="28">
        <v>0.21</v>
      </c>
      <c r="L222" s="15" t="s">
        <v>34</v>
      </c>
      <c r="M222" s="15" t="s">
        <v>101</v>
      </c>
      <c r="N222" s="15" t="s">
        <v>102</v>
      </c>
      <c r="O222" s="15" t="s">
        <v>103</v>
      </c>
      <c r="P222" s="15" t="s">
        <v>104</v>
      </c>
      <c r="Q222" s="15"/>
    </row>
    <row r="223" spans="1:17" x14ac:dyDescent="0.25">
      <c r="A223" s="14"/>
      <c r="B223" s="25"/>
      <c r="C223" s="25"/>
      <c r="D223" s="15"/>
      <c r="E223" s="15"/>
      <c r="F223" s="26">
        <f>IFERROR(VLOOKUP(L223,CARTON_LOOKUP!$A:$E,3,0),"")</f>
      </c>
      <c r="G223" s="26">
        <f>IFERROR(VLOOKUP(L223,CARTON_LOOKUP!$A:$E,4,0),"")</f>
      </c>
      <c r="H223" s="26">
        <f>IFERROR(VLOOKUP(L223,CARTON_LOOKUP!$A:$E,5,0),"")</f>
      </c>
      <c r="I223" s="27">
        <f>IFERROR(VLOOKUP(L223,CARTON_LOOKUP!$A:$E,2,0),"")</f>
      </c>
      <c r="J223" s="15" t="s">
        <v>54</v>
      </c>
      <c r="K223" s="28">
        <v>0.21</v>
      </c>
      <c r="L223" s="15" t="s">
        <v>34</v>
      </c>
      <c r="M223" s="15" t="s">
        <v>101</v>
      </c>
      <c r="N223" s="15" t="s">
        <v>102</v>
      </c>
      <c r="O223" s="15" t="s">
        <v>103</v>
      </c>
      <c r="P223" s="15" t="s">
        <v>104</v>
      </c>
      <c r="Q223" s="15"/>
    </row>
    <row r="224" spans="1:17" x14ac:dyDescent="0.25">
      <c r="A224" s="14"/>
      <c r="B224" s="25"/>
      <c r="C224" s="25"/>
      <c r="D224" s="15"/>
      <c r="E224" s="15"/>
      <c r="F224" s="26">
        <f>IFERROR(VLOOKUP(L224,CARTON_LOOKUP!$A:$E,3,0),"")</f>
      </c>
      <c r="G224" s="26">
        <f>IFERROR(VLOOKUP(L224,CARTON_LOOKUP!$A:$E,4,0),"")</f>
      </c>
      <c r="H224" s="26">
        <f>IFERROR(VLOOKUP(L224,CARTON_LOOKUP!$A:$E,5,0),"")</f>
      </c>
      <c r="I224" s="27">
        <f>IFERROR(VLOOKUP(L224,CARTON_LOOKUP!$A:$E,2,0),"")</f>
      </c>
      <c r="J224" s="15" t="s">
        <v>54</v>
      </c>
      <c r="K224" s="28">
        <v>0.21</v>
      </c>
      <c r="L224" s="15" t="s">
        <v>34</v>
      </c>
      <c r="M224" s="15" t="s">
        <v>101</v>
      </c>
      <c r="N224" s="15" t="s">
        <v>102</v>
      </c>
      <c r="O224" s="15" t="s">
        <v>103</v>
      </c>
      <c r="P224" s="15" t="s">
        <v>104</v>
      </c>
      <c r="Q224" s="15"/>
    </row>
    <row r="225" spans="1:17" x14ac:dyDescent="0.25">
      <c r="A225" s="14"/>
      <c r="B225" s="25"/>
      <c r="C225" s="25"/>
      <c r="D225" s="15"/>
      <c r="E225" s="15"/>
      <c r="F225" s="26">
        <f>IFERROR(VLOOKUP(L225,CARTON_LOOKUP!$A:$E,3,0),"")</f>
      </c>
      <c r="G225" s="26">
        <f>IFERROR(VLOOKUP(L225,CARTON_LOOKUP!$A:$E,4,0),"")</f>
      </c>
      <c r="H225" s="26">
        <f>IFERROR(VLOOKUP(L225,CARTON_LOOKUP!$A:$E,5,0),"")</f>
      </c>
      <c r="I225" s="27">
        <f>IFERROR(VLOOKUP(L225,CARTON_LOOKUP!$A:$E,2,0),"")</f>
      </c>
      <c r="J225" s="15" t="s">
        <v>54</v>
      </c>
      <c r="K225" s="28">
        <v>0.21</v>
      </c>
      <c r="L225" s="15" t="s">
        <v>34</v>
      </c>
      <c r="M225" s="15" t="s">
        <v>101</v>
      </c>
      <c r="N225" s="15" t="s">
        <v>102</v>
      </c>
      <c r="O225" s="15" t="s">
        <v>103</v>
      </c>
      <c r="P225" s="15" t="s">
        <v>104</v>
      </c>
      <c r="Q225" s="15"/>
    </row>
    <row r="226" spans="1:17" x14ac:dyDescent="0.25">
      <c r="A226" s="14"/>
      <c r="B226" s="25"/>
      <c r="C226" s="25"/>
      <c r="D226" s="15"/>
      <c r="E226" s="15"/>
      <c r="F226" s="26">
        <f>IFERROR(VLOOKUP(L226,CARTON_LOOKUP!$A:$E,3,0),"")</f>
      </c>
      <c r="G226" s="26">
        <f>IFERROR(VLOOKUP(L226,CARTON_LOOKUP!$A:$E,4,0),"")</f>
      </c>
      <c r="H226" s="26">
        <f>IFERROR(VLOOKUP(L226,CARTON_LOOKUP!$A:$E,5,0),"")</f>
      </c>
      <c r="I226" s="27">
        <f>IFERROR(VLOOKUP(L226,CARTON_LOOKUP!$A:$E,2,0),"")</f>
      </c>
      <c r="J226" s="15" t="s">
        <v>54</v>
      </c>
      <c r="K226" s="28">
        <v>0.21</v>
      </c>
      <c r="L226" s="15" t="s">
        <v>34</v>
      </c>
      <c r="M226" s="15" t="s">
        <v>101</v>
      </c>
      <c r="N226" s="15" t="s">
        <v>102</v>
      </c>
      <c r="O226" s="15" t="s">
        <v>103</v>
      </c>
      <c r="P226" s="15" t="s">
        <v>104</v>
      </c>
      <c r="Q226" s="15"/>
    </row>
    <row r="227" spans="1:17" x14ac:dyDescent="0.25">
      <c r="A227" s="14"/>
      <c r="B227" s="25"/>
      <c r="C227" s="25"/>
      <c r="D227" s="15"/>
      <c r="E227" s="15"/>
      <c r="F227" s="26">
        <f>IFERROR(VLOOKUP(L227,CARTON_LOOKUP!$A:$E,3,0),"")</f>
      </c>
      <c r="G227" s="26">
        <f>IFERROR(VLOOKUP(L227,CARTON_LOOKUP!$A:$E,4,0),"")</f>
      </c>
      <c r="H227" s="26">
        <f>IFERROR(VLOOKUP(L227,CARTON_LOOKUP!$A:$E,5,0),"")</f>
      </c>
      <c r="I227" s="27">
        <f>IFERROR(VLOOKUP(L227,CARTON_LOOKUP!$A:$E,2,0),"")</f>
      </c>
      <c r="J227" s="15" t="s">
        <v>54</v>
      </c>
      <c r="K227" s="28">
        <v>0.21</v>
      </c>
      <c r="L227" s="15" t="s">
        <v>34</v>
      </c>
      <c r="M227" s="15" t="s">
        <v>101</v>
      </c>
      <c r="N227" s="15" t="s">
        <v>102</v>
      </c>
      <c r="O227" s="15" t="s">
        <v>103</v>
      </c>
      <c r="P227" s="15" t="s">
        <v>104</v>
      </c>
      <c r="Q227" s="15"/>
    </row>
    <row r="228" spans="1:17" x14ac:dyDescent="0.25">
      <c r="A228" s="14"/>
      <c r="B228" s="25"/>
      <c r="C228" s="25"/>
      <c r="D228" s="15"/>
      <c r="E228" s="15"/>
      <c r="F228" s="26">
        <f>IFERROR(VLOOKUP(L228,CARTON_LOOKUP!$A:$E,3,0),"")</f>
      </c>
      <c r="G228" s="26">
        <f>IFERROR(VLOOKUP(L228,CARTON_LOOKUP!$A:$E,4,0),"")</f>
      </c>
      <c r="H228" s="26">
        <f>IFERROR(VLOOKUP(L228,CARTON_LOOKUP!$A:$E,5,0),"")</f>
      </c>
      <c r="I228" s="27">
        <f>IFERROR(VLOOKUP(L228,CARTON_LOOKUP!$A:$E,2,0),"")</f>
      </c>
      <c r="J228" s="15" t="s">
        <v>54</v>
      </c>
      <c r="K228" s="28">
        <v>0.21</v>
      </c>
      <c r="L228" s="15" t="s">
        <v>34</v>
      </c>
      <c r="M228" s="15" t="s">
        <v>101</v>
      </c>
      <c r="N228" s="15" t="s">
        <v>102</v>
      </c>
      <c r="O228" s="15" t="s">
        <v>103</v>
      </c>
      <c r="P228" s="15" t="s">
        <v>104</v>
      </c>
      <c r="Q228" s="15"/>
    </row>
    <row r="229" spans="1:17" x14ac:dyDescent="0.25">
      <c r="A229" s="14"/>
      <c r="B229" s="25"/>
      <c r="C229" s="25"/>
      <c r="D229" s="15"/>
      <c r="E229" s="15"/>
      <c r="F229" s="26">
        <f>IFERROR(VLOOKUP(L229,CARTON_LOOKUP!$A:$E,3,0),"")</f>
      </c>
      <c r="G229" s="26">
        <f>IFERROR(VLOOKUP(L229,CARTON_LOOKUP!$A:$E,4,0),"")</f>
      </c>
      <c r="H229" s="26">
        <f>IFERROR(VLOOKUP(L229,CARTON_LOOKUP!$A:$E,5,0),"")</f>
      </c>
      <c r="I229" s="27">
        <f>IFERROR(VLOOKUP(L229,CARTON_LOOKUP!$A:$E,2,0),"")</f>
      </c>
      <c r="J229" s="15" t="s">
        <v>54</v>
      </c>
      <c r="K229" s="28">
        <v>0.21</v>
      </c>
      <c r="L229" s="15" t="s">
        <v>34</v>
      </c>
      <c r="M229" s="15" t="s">
        <v>101</v>
      </c>
      <c r="N229" s="15" t="s">
        <v>102</v>
      </c>
      <c r="O229" s="15" t="s">
        <v>103</v>
      </c>
      <c r="P229" s="15" t="s">
        <v>104</v>
      </c>
      <c r="Q229" s="15"/>
    </row>
    <row r="230" spans="1:17" x14ac:dyDescent="0.25">
      <c r="A230" s="14"/>
      <c r="B230" s="25"/>
      <c r="C230" s="25"/>
      <c r="D230" s="15"/>
      <c r="E230" s="15"/>
      <c r="F230" s="26">
        <f>IFERROR(VLOOKUP(L230,CARTON_LOOKUP!$A:$E,3,0),"")</f>
      </c>
      <c r="G230" s="26">
        <f>IFERROR(VLOOKUP(L230,CARTON_LOOKUP!$A:$E,4,0),"")</f>
      </c>
      <c r="H230" s="26">
        <f>IFERROR(VLOOKUP(L230,CARTON_LOOKUP!$A:$E,5,0),"")</f>
      </c>
      <c r="I230" s="27">
        <f>IFERROR(VLOOKUP(L230,CARTON_LOOKUP!$A:$E,2,0),"")</f>
      </c>
      <c r="J230" s="15" t="s">
        <v>54</v>
      </c>
      <c r="K230" s="28">
        <v>0.21</v>
      </c>
      <c r="L230" s="15" t="s">
        <v>34</v>
      </c>
      <c r="M230" s="15" t="s">
        <v>101</v>
      </c>
      <c r="N230" s="15" t="s">
        <v>102</v>
      </c>
      <c r="O230" s="15" t="s">
        <v>103</v>
      </c>
      <c r="P230" s="15" t="s">
        <v>104</v>
      </c>
      <c r="Q230" s="15"/>
    </row>
    <row r="231" spans="1:17" x14ac:dyDescent="0.25">
      <c r="A231" s="14"/>
      <c r="B231" s="25"/>
      <c r="C231" s="25"/>
      <c r="D231" s="15"/>
      <c r="E231" s="15"/>
      <c r="F231" s="26">
        <f>IFERROR(VLOOKUP(L231,CARTON_LOOKUP!$A:$E,3,0),"")</f>
      </c>
      <c r="G231" s="26">
        <f>IFERROR(VLOOKUP(L231,CARTON_LOOKUP!$A:$E,4,0),"")</f>
      </c>
      <c r="H231" s="26">
        <f>IFERROR(VLOOKUP(L231,CARTON_LOOKUP!$A:$E,5,0),"")</f>
      </c>
      <c r="I231" s="27">
        <f>IFERROR(VLOOKUP(L231,CARTON_LOOKUP!$A:$E,2,0),"")</f>
      </c>
      <c r="J231" s="15" t="s">
        <v>54</v>
      </c>
      <c r="K231" s="28">
        <v>0.21</v>
      </c>
      <c r="L231" s="15" t="s">
        <v>34</v>
      </c>
      <c r="M231" s="15" t="s">
        <v>101</v>
      </c>
      <c r="N231" s="15" t="s">
        <v>102</v>
      </c>
      <c r="O231" s="15" t="s">
        <v>103</v>
      </c>
      <c r="P231" s="15" t="s">
        <v>104</v>
      </c>
      <c r="Q231" s="15"/>
    </row>
    <row r="232" spans="1:17" x14ac:dyDescent="0.25">
      <c r="A232" s="14"/>
      <c r="B232" s="25"/>
      <c r="C232" s="25"/>
      <c r="D232" s="15"/>
      <c r="E232" s="15"/>
      <c r="F232" s="26">
        <f>IFERROR(VLOOKUP(L232,CARTON_LOOKUP!$A:$E,3,0),"")</f>
      </c>
      <c r="G232" s="26">
        <f>IFERROR(VLOOKUP(L232,CARTON_LOOKUP!$A:$E,4,0),"")</f>
      </c>
      <c r="H232" s="26">
        <f>IFERROR(VLOOKUP(L232,CARTON_LOOKUP!$A:$E,5,0),"")</f>
      </c>
      <c r="I232" s="27">
        <f>IFERROR(VLOOKUP(L232,CARTON_LOOKUP!$A:$E,2,0),"")</f>
      </c>
      <c r="J232" s="15" t="s">
        <v>54</v>
      </c>
      <c r="K232" s="28">
        <v>0.21</v>
      </c>
      <c r="L232" s="15" t="s">
        <v>34</v>
      </c>
      <c r="M232" s="15" t="s">
        <v>101</v>
      </c>
      <c r="N232" s="15" t="s">
        <v>102</v>
      </c>
      <c r="O232" s="15" t="s">
        <v>103</v>
      </c>
      <c r="P232" s="15" t="s">
        <v>104</v>
      </c>
      <c r="Q232" s="15"/>
    </row>
    <row r="233" spans="1:17" x14ac:dyDescent="0.25">
      <c r="A233" s="14"/>
      <c r="B233" s="25"/>
      <c r="C233" s="25"/>
      <c r="D233" s="15"/>
      <c r="E233" s="15"/>
      <c r="F233" s="26">
        <f>IFERROR(VLOOKUP(L233,CARTON_LOOKUP!$A:$E,3,0),"")</f>
      </c>
      <c r="G233" s="26">
        <f>IFERROR(VLOOKUP(L233,CARTON_LOOKUP!$A:$E,4,0),"")</f>
      </c>
      <c r="H233" s="26">
        <f>IFERROR(VLOOKUP(L233,CARTON_LOOKUP!$A:$E,5,0),"")</f>
      </c>
      <c r="I233" s="27">
        <f>IFERROR(VLOOKUP(L233,CARTON_LOOKUP!$A:$E,2,0),"")</f>
      </c>
      <c r="J233" s="15" t="s">
        <v>54</v>
      </c>
      <c r="K233" s="28">
        <v>0.21</v>
      </c>
      <c r="L233" s="15" t="s">
        <v>34</v>
      </c>
      <c r="M233" s="15" t="s">
        <v>101</v>
      </c>
      <c r="N233" s="15" t="s">
        <v>102</v>
      </c>
      <c r="O233" s="15" t="s">
        <v>103</v>
      </c>
      <c r="P233" s="15" t="s">
        <v>104</v>
      </c>
      <c r="Q233" s="15"/>
    </row>
    <row r="234" spans="1:17" x14ac:dyDescent="0.25">
      <c r="A234" s="14"/>
      <c r="B234" s="25"/>
      <c r="C234" s="25"/>
      <c r="D234" s="15"/>
      <c r="E234" s="15"/>
      <c r="F234" s="26">
        <f>IFERROR(VLOOKUP(L234,CARTON_LOOKUP!$A:$E,3,0),"")</f>
      </c>
      <c r="G234" s="26">
        <f>IFERROR(VLOOKUP(L234,CARTON_LOOKUP!$A:$E,4,0),"")</f>
      </c>
      <c r="H234" s="26">
        <f>IFERROR(VLOOKUP(L234,CARTON_LOOKUP!$A:$E,5,0),"")</f>
      </c>
      <c r="I234" s="27">
        <f>IFERROR(VLOOKUP(L234,CARTON_LOOKUP!$A:$E,2,0),"")</f>
      </c>
      <c r="J234" s="15" t="s">
        <v>54</v>
      </c>
      <c r="K234" s="28">
        <v>0.21</v>
      </c>
      <c r="L234" s="15" t="s">
        <v>34</v>
      </c>
      <c r="M234" s="15" t="s">
        <v>101</v>
      </c>
      <c r="N234" s="15" t="s">
        <v>102</v>
      </c>
      <c r="O234" s="15" t="s">
        <v>103</v>
      </c>
      <c r="P234" s="15" t="s">
        <v>104</v>
      </c>
      <c r="Q234" s="15"/>
    </row>
    <row r="235" spans="1:17" x14ac:dyDescent="0.25">
      <c r="A235" s="14"/>
      <c r="B235" s="25"/>
      <c r="C235" s="25"/>
      <c r="D235" s="15"/>
      <c r="E235" s="15"/>
      <c r="F235" s="26">
        <f>IFERROR(VLOOKUP(L235,CARTON_LOOKUP!$A:$E,3,0),"")</f>
      </c>
      <c r="G235" s="26">
        <f>IFERROR(VLOOKUP(L235,CARTON_LOOKUP!$A:$E,4,0),"")</f>
      </c>
      <c r="H235" s="26">
        <f>IFERROR(VLOOKUP(L235,CARTON_LOOKUP!$A:$E,5,0),"")</f>
      </c>
      <c r="I235" s="27">
        <f>IFERROR(VLOOKUP(L235,CARTON_LOOKUP!$A:$E,2,0),"")</f>
      </c>
      <c r="J235" s="15" t="s">
        <v>54</v>
      </c>
      <c r="K235" s="28">
        <v>0.21</v>
      </c>
      <c r="L235" s="15" t="s">
        <v>34</v>
      </c>
      <c r="M235" s="15" t="s">
        <v>101</v>
      </c>
      <c r="N235" s="15" t="s">
        <v>102</v>
      </c>
      <c r="O235" s="15" t="s">
        <v>103</v>
      </c>
      <c r="P235" s="15" t="s">
        <v>104</v>
      </c>
      <c r="Q235" s="15"/>
    </row>
    <row r="236" spans="1:17" x14ac:dyDescent="0.25">
      <c r="A236" s="14"/>
      <c r="B236" s="25"/>
      <c r="C236" s="25"/>
      <c r="D236" s="15"/>
      <c r="E236" s="15"/>
      <c r="F236" s="26">
        <f>IFERROR(VLOOKUP(L236,CARTON_LOOKUP!$A:$E,3,0),"")</f>
      </c>
      <c r="G236" s="26">
        <f>IFERROR(VLOOKUP(L236,CARTON_LOOKUP!$A:$E,4,0),"")</f>
      </c>
      <c r="H236" s="26">
        <f>IFERROR(VLOOKUP(L236,CARTON_LOOKUP!$A:$E,5,0),"")</f>
      </c>
      <c r="I236" s="27">
        <f>IFERROR(VLOOKUP(L236,CARTON_LOOKUP!$A:$E,2,0),"")</f>
      </c>
      <c r="J236" s="15" t="s">
        <v>54</v>
      </c>
      <c r="K236" s="28">
        <v>0.21</v>
      </c>
      <c r="L236" s="15" t="s">
        <v>34</v>
      </c>
      <c r="M236" s="15" t="s">
        <v>101</v>
      </c>
      <c r="N236" s="15" t="s">
        <v>102</v>
      </c>
      <c r="O236" s="15" t="s">
        <v>103</v>
      </c>
      <c r="P236" s="15" t="s">
        <v>104</v>
      </c>
      <c r="Q236" s="15"/>
    </row>
    <row r="237" spans="1:17" x14ac:dyDescent="0.25">
      <c r="A237" s="14"/>
      <c r="B237" s="25"/>
      <c r="C237" s="25"/>
      <c r="D237" s="15"/>
      <c r="E237" s="15"/>
      <c r="F237" s="26">
        <f>IFERROR(VLOOKUP(L237,CARTON_LOOKUP!$A:$E,3,0),"")</f>
      </c>
      <c r="G237" s="26">
        <f>IFERROR(VLOOKUP(L237,CARTON_LOOKUP!$A:$E,4,0),"")</f>
      </c>
      <c r="H237" s="26">
        <f>IFERROR(VLOOKUP(L237,CARTON_LOOKUP!$A:$E,5,0),"")</f>
      </c>
      <c r="I237" s="27">
        <f>IFERROR(VLOOKUP(L237,CARTON_LOOKUP!$A:$E,2,0),"")</f>
      </c>
      <c r="J237" s="15" t="s">
        <v>54</v>
      </c>
      <c r="K237" s="28">
        <v>0.21</v>
      </c>
      <c r="L237" s="15" t="s">
        <v>34</v>
      </c>
      <c r="M237" s="15" t="s">
        <v>101</v>
      </c>
      <c r="N237" s="15" t="s">
        <v>102</v>
      </c>
      <c r="O237" s="15" t="s">
        <v>103</v>
      </c>
      <c r="P237" s="15" t="s">
        <v>104</v>
      </c>
      <c r="Q237" s="15"/>
    </row>
    <row r="238" spans="1:17" x14ac:dyDescent="0.25">
      <c r="A238" s="14"/>
      <c r="B238" s="25"/>
      <c r="C238" s="25"/>
      <c r="D238" s="15"/>
      <c r="E238" s="15"/>
      <c r="F238" s="26">
        <f>IFERROR(VLOOKUP(L238,CARTON_LOOKUP!$A:$E,3,0),"")</f>
      </c>
      <c r="G238" s="26">
        <f>IFERROR(VLOOKUP(L238,CARTON_LOOKUP!$A:$E,4,0),"")</f>
      </c>
      <c r="H238" s="26">
        <f>IFERROR(VLOOKUP(L238,CARTON_LOOKUP!$A:$E,5,0),"")</f>
      </c>
      <c r="I238" s="27">
        <f>IFERROR(VLOOKUP(L238,CARTON_LOOKUP!$A:$E,2,0),"")</f>
      </c>
      <c r="J238" s="15" t="s">
        <v>54</v>
      </c>
      <c r="K238" s="28">
        <v>0.21</v>
      </c>
      <c r="L238" s="15" t="s">
        <v>34</v>
      </c>
      <c r="M238" s="15" t="s">
        <v>101</v>
      </c>
      <c r="N238" s="15" t="s">
        <v>102</v>
      </c>
      <c r="O238" s="15" t="s">
        <v>103</v>
      </c>
      <c r="P238" s="15" t="s">
        <v>104</v>
      </c>
      <c r="Q238" s="15"/>
    </row>
    <row r="239" spans="1:17" x14ac:dyDescent="0.25">
      <c r="A239" s="14"/>
      <c r="B239" s="25"/>
      <c r="C239" s="25"/>
      <c r="D239" s="15"/>
      <c r="E239" s="15"/>
      <c r="F239" s="26">
        <f>IFERROR(VLOOKUP(L239,CARTON_LOOKUP!$A:$E,3,0),"")</f>
      </c>
      <c r="G239" s="26">
        <f>IFERROR(VLOOKUP(L239,CARTON_LOOKUP!$A:$E,4,0),"")</f>
      </c>
      <c r="H239" s="26">
        <f>IFERROR(VLOOKUP(L239,CARTON_LOOKUP!$A:$E,5,0),"")</f>
      </c>
      <c r="I239" s="27">
        <f>IFERROR(VLOOKUP(L239,CARTON_LOOKUP!$A:$E,2,0),"")</f>
      </c>
      <c r="J239" s="15" t="s">
        <v>54</v>
      </c>
      <c r="K239" s="28">
        <v>0.21</v>
      </c>
      <c r="L239" s="15" t="s">
        <v>34</v>
      </c>
      <c r="M239" s="15" t="s">
        <v>101</v>
      </c>
      <c r="N239" s="15" t="s">
        <v>102</v>
      </c>
      <c r="O239" s="15" t="s">
        <v>103</v>
      </c>
      <c r="P239" s="15" t="s">
        <v>104</v>
      </c>
      <c r="Q239" s="15"/>
    </row>
    <row r="240" spans="1:17" x14ac:dyDescent="0.25">
      <c r="A240" s="14"/>
      <c r="B240" s="25"/>
      <c r="C240" s="25"/>
      <c r="D240" s="15"/>
      <c r="E240" s="15"/>
      <c r="F240" s="26">
        <f>IFERROR(VLOOKUP(L240,CARTON_LOOKUP!$A:$E,3,0),"")</f>
      </c>
      <c r="G240" s="26">
        <f>IFERROR(VLOOKUP(L240,CARTON_LOOKUP!$A:$E,4,0),"")</f>
      </c>
      <c r="H240" s="26">
        <f>IFERROR(VLOOKUP(L240,CARTON_LOOKUP!$A:$E,5,0),"")</f>
      </c>
      <c r="I240" s="27">
        <f>IFERROR(VLOOKUP(L240,CARTON_LOOKUP!$A:$E,2,0),"")</f>
      </c>
      <c r="J240" s="15" t="s">
        <v>54</v>
      </c>
      <c r="K240" s="28">
        <v>0.21</v>
      </c>
      <c r="L240" s="15" t="s">
        <v>34</v>
      </c>
      <c r="M240" s="15" t="s">
        <v>101</v>
      </c>
      <c r="N240" s="15" t="s">
        <v>102</v>
      </c>
      <c r="O240" s="15" t="s">
        <v>103</v>
      </c>
      <c r="P240" s="15" t="s">
        <v>104</v>
      </c>
      <c r="Q240" s="15"/>
    </row>
    <row r="241" spans="1:17" x14ac:dyDescent="0.25">
      <c r="A241" s="14"/>
      <c r="B241" s="25"/>
      <c r="C241" s="25"/>
      <c r="D241" s="15"/>
      <c r="E241" s="15"/>
      <c r="F241" s="26">
        <f>IFERROR(VLOOKUP(L241,CARTON_LOOKUP!$A:$E,3,0),"")</f>
      </c>
      <c r="G241" s="26">
        <f>IFERROR(VLOOKUP(L241,CARTON_LOOKUP!$A:$E,4,0),"")</f>
      </c>
      <c r="H241" s="26">
        <f>IFERROR(VLOOKUP(L241,CARTON_LOOKUP!$A:$E,5,0),"")</f>
      </c>
      <c r="I241" s="27">
        <f>IFERROR(VLOOKUP(L241,CARTON_LOOKUP!$A:$E,2,0),"")</f>
      </c>
      <c r="J241" s="15" t="s">
        <v>54</v>
      </c>
      <c r="K241" s="28">
        <v>0.21</v>
      </c>
      <c r="L241" s="15" t="s">
        <v>34</v>
      </c>
      <c r="M241" s="15" t="s">
        <v>101</v>
      </c>
      <c r="N241" s="15" t="s">
        <v>102</v>
      </c>
      <c r="O241" s="15" t="s">
        <v>103</v>
      </c>
      <c r="P241" s="15" t="s">
        <v>104</v>
      </c>
      <c r="Q241" s="15"/>
    </row>
    <row r="242" spans="1:17" x14ac:dyDescent="0.25">
      <c r="A242" s="14"/>
      <c r="B242" s="25"/>
      <c r="C242" s="25"/>
      <c r="D242" s="15"/>
      <c r="E242" s="15"/>
      <c r="F242" s="26">
        <f>IFERROR(VLOOKUP(L242,CARTON_LOOKUP!$A:$E,3,0),"")</f>
      </c>
      <c r="G242" s="26">
        <f>IFERROR(VLOOKUP(L242,CARTON_LOOKUP!$A:$E,4,0),"")</f>
      </c>
      <c r="H242" s="26">
        <f>IFERROR(VLOOKUP(L242,CARTON_LOOKUP!$A:$E,5,0),"")</f>
      </c>
      <c r="I242" s="27">
        <f>IFERROR(VLOOKUP(L242,CARTON_LOOKUP!$A:$E,2,0),"")</f>
      </c>
      <c r="J242" s="15" t="s">
        <v>54</v>
      </c>
      <c r="K242" s="28">
        <v>0.21</v>
      </c>
      <c r="L242" s="15" t="s">
        <v>34</v>
      </c>
      <c r="M242" s="15" t="s">
        <v>101</v>
      </c>
      <c r="N242" s="15" t="s">
        <v>102</v>
      </c>
      <c r="O242" s="15" t="s">
        <v>103</v>
      </c>
      <c r="P242" s="15" t="s">
        <v>104</v>
      </c>
      <c r="Q242" s="15"/>
    </row>
    <row r="243" spans="1:17" x14ac:dyDescent="0.25">
      <c r="A243" s="14"/>
      <c r="B243" s="25"/>
      <c r="C243" s="25"/>
      <c r="D243" s="15"/>
      <c r="E243" s="15"/>
      <c r="F243" s="26">
        <f>IFERROR(VLOOKUP(L243,CARTON_LOOKUP!$A:$E,3,0),"")</f>
      </c>
      <c r="G243" s="26">
        <f>IFERROR(VLOOKUP(L243,CARTON_LOOKUP!$A:$E,4,0),"")</f>
      </c>
      <c r="H243" s="26">
        <f>IFERROR(VLOOKUP(L243,CARTON_LOOKUP!$A:$E,5,0),"")</f>
      </c>
      <c r="I243" s="27">
        <f>IFERROR(VLOOKUP(L243,CARTON_LOOKUP!$A:$E,2,0),"")</f>
      </c>
      <c r="J243" s="15" t="s">
        <v>54</v>
      </c>
      <c r="K243" s="28">
        <v>0.21</v>
      </c>
      <c r="L243" s="15" t="s">
        <v>34</v>
      </c>
      <c r="M243" s="15" t="s">
        <v>101</v>
      </c>
      <c r="N243" s="15" t="s">
        <v>102</v>
      </c>
      <c r="O243" s="15" t="s">
        <v>103</v>
      </c>
      <c r="P243" s="15" t="s">
        <v>104</v>
      </c>
      <c r="Q243" s="15"/>
    </row>
    <row r="244" spans="1:17" x14ac:dyDescent="0.25">
      <c r="A244" s="14"/>
      <c r="B244" s="25"/>
      <c r="C244" s="25"/>
      <c r="D244" s="15"/>
      <c r="E244" s="15"/>
      <c r="F244" s="26">
        <f>IFERROR(VLOOKUP(L244,CARTON_LOOKUP!$A:$E,3,0),"")</f>
      </c>
      <c r="G244" s="26">
        <f>IFERROR(VLOOKUP(L244,CARTON_LOOKUP!$A:$E,4,0),"")</f>
      </c>
      <c r="H244" s="26">
        <f>IFERROR(VLOOKUP(L244,CARTON_LOOKUP!$A:$E,5,0),"")</f>
      </c>
      <c r="I244" s="27">
        <f>IFERROR(VLOOKUP(L244,CARTON_LOOKUP!$A:$E,2,0),"")</f>
      </c>
      <c r="J244" s="15" t="s">
        <v>54</v>
      </c>
      <c r="K244" s="28">
        <v>0.21</v>
      </c>
      <c r="L244" s="15" t="s">
        <v>34</v>
      </c>
      <c r="M244" s="15" t="s">
        <v>101</v>
      </c>
      <c r="N244" s="15" t="s">
        <v>102</v>
      </c>
      <c r="O244" s="15" t="s">
        <v>103</v>
      </c>
      <c r="P244" s="15" t="s">
        <v>104</v>
      </c>
      <c r="Q244" s="15"/>
    </row>
    <row r="245" spans="1:17" x14ac:dyDescent="0.25">
      <c r="A245" s="14"/>
      <c r="B245" s="25"/>
      <c r="C245" s="25"/>
      <c r="D245" s="15"/>
      <c r="E245" s="15"/>
      <c r="F245" s="26">
        <f>IFERROR(VLOOKUP(L245,CARTON_LOOKUP!$A:$E,3,0),"")</f>
      </c>
      <c r="G245" s="26">
        <f>IFERROR(VLOOKUP(L245,CARTON_LOOKUP!$A:$E,4,0),"")</f>
      </c>
      <c r="H245" s="26">
        <f>IFERROR(VLOOKUP(L245,CARTON_LOOKUP!$A:$E,5,0),"")</f>
      </c>
      <c r="I245" s="27">
        <f>IFERROR(VLOOKUP(L245,CARTON_LOOKUP!$A:$E,2,0),"")</f>
      </c>
      <c r="J245" s="15" t="s">
        <v>54</v>
      </c>
      <c r="K245" s="28">
        <v>0.21</v>
      </c>
      <c r="L245" s="15" t="s">
        <v>34</v>
      </c>
      <c r="M245" s="15" t="s">
        <v>101</v>
      </c>
      <c r="N245" s="15" t="s">
        <v>102</v>
      </c>
      <c r="O245" s="15" t="s">
        <v>103</v>
      </c>
      <c r="P245" s="15" t="s">
        <v>104</v>
      </c>
      <c r="Q245" s="15"/>
    </row>
    <row r="246" spans="1:17" x14ac:dyDescent="0.25">
      <c r="A246" s="14"/>
      <c r="B246" s="25"/>
      <c r="C246" s="25"/>
      <c r="D246" s="15"/>
      <c r="E246" s="15"/>
      <c r="F246" s="26">
        <f>IFERROR(VLOOKUP(L246,CARTON_LOOKUP!$A:$E,3,0),"")</f>
      </c>
      <c r="G246" s="26">
        <f>IFERROR(VLOOKUP(L246,CARTON_LOOKUP!$A:$E,4,0),"")</f>
      </c>
      <c r="H246" s="26">
        <f>IFERROR(VLOOKUP(L246,CARTON_LOOKUP!$A:$E,5,0),"")</f>
      </c>
      <c r="I246" s="27">
        <f>IFERROR(VLOOKUP(L246,CARTON_LOOKUP!$A:$E,2,0),"")</f>
      </c>
      <c r="J246" s="15" t="s">
        <v>54</v>
      </c>
      <c r="K246" s="28">
        <v>0.21</v>
      </c>
      <c r="L246" s="15" t="s">
        <v>34</v>
      </c>
      <c r="M246" s="15" t="s">
        <v>101</v>
      </c>
      <c r="N246" s="15" t="s">
        <v>102</v>
      </c>
      <c r="O246" s="15" t="s">
        <v>103</v>
      </c>
      <c r="P246" s="15" t="s">
        <v>104</v>
      </c>
      <c r="Q246" s="15"/>
    </row>
    <row r="247" spans="1:17" x14ac:dyDescent="0.25">
      <c r="A247" s="14"/>
      <c r="B247" s="25"/>
      <c r="C247" s="25"/>
      <c r="D247" s="15"/>
      <c r="E247" s="15"/>
      <c r="F247" s="26">
        <f>IFERROR(VLOOKUP(L247,CARTON_LOOKUP!$A:$E,3,0),"")</f>
      </c>
      <c r="G247" s="26">
        <f>IFERROR(VLOOKUP(L247,CARTON_LOOKUP!$A:$E,4,0),"")</f>
      </c>
      <c r="H247" s="26">
        <f>IFERROR(VLOOKUP(L247,CARTON_LOOKUP!$A:$E,5,0),"")</f>
      </c>
      <c r="I247" s="27">
        <f>IFERROR(VLOOKUP(L247,CARTON_LOOKUP!$A:$E,2,0),"")</f>
      </c>
      <c r="J247" s="15" t="s">
        <v>54</v>
      </c>
      <c r="K247" s="28">
        <v>0.21</v>
      </c>
      <c r="L247" s="15" t="s">
        <v>34</v>
      </c>
      <c r="M247" s="15" t="s">
        <v>101</v>
      </c>
      <c r="N247" s="15" t="s">
        <v>102</v>
      </c>
      <c r="O247" s="15" t="s">
        <v>103</v>
      </c>
      <c r="P247" s="15" t="s">
        <v>104</v>
      </c>
      <c r="Q247" s="15"/>
    </row>
    <row r="248" spans="1:17" x14ac:dyDescent="0.25">
      <c r="A248" s="14"/>
      <c r="B248" s="25"/>
      <c r="C248" s="25"/>
      <c r="D248" s="15"/>
      <c r="E248" s="15"/>
      <c r="F248" s="26">
        <f>IFERROR(VLOOKUP(L248,CARTON_LOOKUP!$A:$E,3,0),"")</f>
      </c>
      <c r="G248" s="26">
        <f>IFERROR(VLOOKUP(L248,CARTON_LOOKUP!$A:$E,4,0),"")</f>
      </c>
      <c r="H248" s="26">
        <f>IFERROR(VLOOKUP(L248,CARTON_LOOKUP!$A:$E,5,0),"")</f>
      </c>
      <c r="I248" s="27">
        <f>IFERROR(VLOOKUP(L248,CARTON_LOOKUP!$A:$E,2,0),"")</f>
      </c>
      <c r="J248" s="15" t="s">
        <v>54</v>
      </c>
      <c r="K248" s="28">
        <v>0.21</v>
      </c>
      <c r="L248" s="15" t="s">
        <v>34</v>
      </c>
      <c r="M248" s="15" t="s">
        <v>101</v>
      </c>
      <c r="N248" s="15" t="s">
        <v>102</v>
      </c>
      <c r="O248" s="15" t="s">
        <v>103</v>
      </c>
      <c r="P248" s="15" t="s">
        <v>104</v>
      </c>
      <c r="Q248" s="15"/>
    </row>
    <row r="249" spans="1:17" x14ac:dyDescent="0.25">
      <c r="A249" s="14"/>
      <c r="B249" s="25"/>
      <c r="C249" s="25"/>
      <c r="D249" s="15"/>
      <c r="E249" s="15"/>
      <c r="F249" s="26">
        <f>IFERROR(VLOOKUP(L249,CARTON_LOOKUP!$A:$E,3,0),"")</f>
      </c>
      <c r="G249" s="26">
        <f>IFERROR(VLOOKUP(L249,CARTON_LOOKUP!$A:$E,4,0),"")</f>
      </c>
      <c r="H249" s="26">
        <f>IFERROR(VLOOKUP(L249,CARTON_LOOKUP!$A:$E,5,0),"")</f>
      </c>
      <c r="I249" s="27">
        <f>IFERROR(VLOOKUP(L249,CARTON_LOOKUP!$A:$E,2,0),"")</f>
      </c>
      <c r="J249" s="15" t="s">
        <v>54</v>
      </c>
      <c r="K249" s="28">
        <v>0.21</v>
      </c>
      <c r="L249" s="15" t="s">
        <v>34</v>
      </c>
      <c r="M249" s="15" t="s">
        <v>101</v>
      </c>
      <c r="N249" s="15" t="s">
        <v>102</v>
      </c>
      <c r="O249" s="15" t="s">
        <v>103</v>
      </c>
      <c r="P249" s="15" t="s">
        <v>104</v>
      </c>
      <c r="Q249" s="15"/>
    </row>
    <row r="250" spans="1:17" x14ac:dyDescent="0.25">
      <c r="A250" s="14"/>
      <c r="B250" s="25"/>
      <c r="C250" s="25"/>
      <c r="D250" s="15"/>
      <c r="E250" s="15"/>
      <c r="F250" s="26">
        <f>IFERROR(VLOOKUP(L250,CARTON_LOOKUP!$A:$E,3,0),"")</f>
      </c>
      <c r="G250" s="26">
        <f>IFERROR(VLOOKUP(L250,CARTON_LOOKUP!$A:$E,4,0),"")</f>
      </c>
      <c r="H250" s="26">
        <f>IFERROR(VLOOKUP(L250,CARTON_LOOKUP!$A:$E,5,0),"")</f>
      </c>
      <c r="I250" s="27">
        <f>IFERROR(VLOOKUP(L250,CARTON_LOOKUP!$A:$E,2,0),"")</f>
      </c>
      <c r="J250" s="15" t="s">
        <v>54</v>
      </c>
      <c r="K250" s="28">
        <v>0.21</v>
      </c>
      <c r="L250" s="15" t="s">
        <v>34</v>
      </c>
      <c r="M250" s="15" t="s">
        <v>101</v>
      </c>
      <c r="N250" s="15" t="s">
        <v>102</v>
      </c>
      <c r="O250" s="15" t="s">
        <v>103</v>
      </c>
      <c r="P250" s="15" t="s">
        <v>104</v>
      </c>
      <c r="Q250" s="15"/>
    </row>
    <row r="251" spans="1:17" x14ac:dyDescent="0.25">
      <c r="A251" s="14"/>
      <c r="B251" s="25"/>
      <c r="C251" s="25"/>
      <c r="D251" s="15"/>
      <c r="E251" s="15"/>
      <c r="F251" s="26">
        <f>IFERROR(VLOOKUP(L251,CARTON_LOOKUP!$A:$E,3,0),"")</f>
      </c>
      <c r="G251" s="26">
        <f>IFERROR(VLOOKUP(L251,CARTON_LOOKUP!$A:$E,4,0),"")</f>
      </c>
      <c r="H251" s="26">
        <f>IFERROR(VLOOKUP(L251,CARTON_LOOKUP!$A:$E,5,0),"")</f>
      </c>
      <c r="I251" s="27">
        <f>IFERROR(VLOOKUP(L251,CARTON_LOOKUP!$A:$E,2,0),"")</f>
      </c>
      <c r="J251" s="15" t="s">
        <v>54</v>
      </c>
      <c r="K251" s="28">
        <v>0.21</v>
      </c>
      <c r="L251" s="15" t="s">
        <v>34</v>
      </c>
      <c r="M251" s="15" t="s">
        <v>101</v>
      </c>
      <c r="N251" s="15" t="s">
        <v>102</v>
      </c>
      <c r="O251" s="15" t="s">
        <v>103</v>
      </c>
      <c r="P251" s="15" t="s">
        <v>104</v>
      </c>
      <c r="Q251" s="15"/>
    </row>
    <row r="252" spans="1:17" x14ac:dyDescent="0.25">
      <c r="A252" s="14"/>
      <c r="B252" s="25"/>
      <c r="C252" s="25"/>
      <c r="D252" s="15"/>
      <c r="E252" s="15"/>
      <c r="F252" s="26">
        <f>IFERROR(VLOOKUP(L252,CARTON_LOOKUP!$A:$E,3,0),"")</f>
      </c>
      <c r="G252" s="26">
        <f>IFERROR(VLOOKUP(L252,CARTON_LOOKUP!$A:$E,4,0),"")</f>
      </c>
      <c r="H252" s="26">
        <f>IFERROR(VLOOKUP(L252,CARTON_LOOKUP!$A:$E,5,0),"")</f>
      </c>
      <c r="I252" s="27">
        <f>IFERROR(VLOOKUP(L252,CARTON_LOOKUP!$A:$E,2,0),"")</f>
      </c>
      <c r="J252" s="15" t="s">
        <v>54</v>
      </c>
      <c r="K252" s="28">
        <v>0.21</v>
      </c>
      <c r="L252" s="15" t="s">
        <v>34</v>
      </c>
      <c r="M252" s="15" t="s">
        <v>101</v>
      </c>
      <c r="N252" s="15" t="s">
        <v>102</v>
      </c>
      <c r="O252" s="15" t="s">
        <v>103</v>
      </c>
      <c r="P252" s="15" t="s">
        <v>104</v>
      </c>
      <c r="Q252" s="15"/>
    </row>
    <row r="253" spans="1:17" x14ac:dyDescent="0.25">
      <c r="A253" s="14"/>
      <c r="B253" s="25"/>
      <c r="C253" s="25"/>
      <c r="D253" s="15"/>
      <c r="E253" s="15"/>
      <c r="F253" s="26">
        <f>IFERROR(VLOOKUP(L253,CARTON_LOOKUP!$A:$E,3,0),"")</f>
      </c>
      <c r="G253" s="26">
        <f>IFERROR(VLOOKUP(L253,CARTON_LOOKUP!$A:$E,4,0),"")</f>
      </c>
      <c r="H253" s="26">
        <f>IFERROR(VLOOKUP(L253,CARTON_LOOKUP!$A:$E,5,0),"")</f>
      </c>
      <c r="I253" s="27">
        <f>IFERROR(VLOOKUP(L253,CARTON_LOOKUP!$A:$E,2,0),"")</f>
      </c>
      <c r="J253" s="15" t="s">
        <v>54</v>
      </c>
      <c r="K253" s="28">
        <v>0.21</v>
      </c>
      <c r="L253" s="15" t="s">
        <v>34</v>
      </c>
      <c r="M253" s="15" t="s">
        <v>101</v>
      </c>
      <c r="N253" s="15" t="s">
        <v>102</v>
      </c>
      <c r="O253" s="15" t="s">
        <v>103</v>
      </c>
      <c r="P253" s="15" t="s">
        <v>104</v>
      </c>
      <c r="Q253" s="15"/>
    </row>
    <row r="254" spans="1:17" x14ac:dyDescent="0.25">
      <c r="A254" s="14"/>
      <c r="B254" s="25"/>
      <c r="C254" s="25"/>
      <c r="D254" s="15"/>
      <c r="E254" s="15"/>
      <c r="F254" s="26">
        <f>IFERROR(VLOOKUP(L254,CARTON_LOOKUP!$A:$E,3,0),"")</f>
      </c>
      <c r="G254" s="26">
        <f>IFERROR(VLOOKUP(L254,CARTON_LOOKUP!$A:$E,4,0),"")</f>
      </c>
      <c r="H254" s="26">
        <f>IFERROR(VLOOKUP(L254,CARTON_LOOKUP!$A:$E,5,0),"")</f>
      </c>
      <c r="I254" s="27">
        <f>IFERROR(VLOOKUP(L254,CARTON_LOOKUP!$A:$E,2,0),"")</f>
      </c>
      <c r="J254" s="15" t="s">
        <v>54</v>
      </c>
      <c r="K254" s="28">
        <v>0.21</v>
      </c>
      <c r="L254" s="15" t="s">
        <v>34</v>
      </c>
      <c r="M254" s="15" t="s">
        <v>101</v>
      </c>
      <c r="N254" s="15" t="s">
        <v>102</v>
      </c>
      <c r="O254" s="15" t="s">
        <v>103</v>
      </c>
      <c r="P254" s="15" t="s">
        <v>104</v>
      </c>
      <c r="Q254" s="15"/>
    </row>
    <row r="255" spans="1:17" x14ac:dyDescent="0.25">
      <c r="A255" s="14"/>
      <c r="B255" s="25"/>
      <c r="C255" s="25"/>
      <c r="D255" s="15"/>
      <c r="E255" s="15"/>
      <c r="F255" s="26">
        <f>IFERROR(VLOOKUP(L255,CARTON_LOOKUP!$A:$E,3,0),"")</f>
      </c>
      <c r="G255" s="26">
        <f>IFERROR(VLOOKUP(L255,CARTON_LOOKUP!$A:$E,4,0),"")</f>
      </c>
      <c r="H255" s="26">
        <f>IFERROR(VLOOKUP(L255,CARTON_LOOKUP!$A:$E,5,0),"")</f>
      </c>
      <c r="I255" s="27">
        <f>IFERROR(VLOOKUP(L255,CARTON_LOOKUP!$A:$E,2,0),"")</f>
      </c>
      <c r="J255" s="15" t="s">
        <v>54</v>
      </c>
      <c r="K255" s="28">
        <v>0.21</v>
      </c>
      <c r="L255" s="15" t="s">
        <v>34</v>
      </c>
      <c r="M255" s="15" t="s">
        <v>101</v>
      </c>
      <c r="N255" s="15" t="s">
        <v>102</v>
      </c>
      <c r="O255" s="15" t="s">
        <v>103</v>
      </c>
      <c r="P255" s="15" t="s">
        <v>104</v>
      </c>
      <c r="Q255" s="15"/>
    </row>
    <row r="256" spans="1:17" x14ac:dyDescent="0.25">
      <c r="A256" s="14"/>
      <c r="B256" s="25"/>
      <c r="C256" s="25"/>
      <c r="D256" s="15"/>
      <c r="E256" s="15"/>
      <c r="F256" s="26">
        <f>IFERROR(VLOOKUP(L256,CARTON_LOOKUP!$A:$E,3,0),"")</f>
      </c>
      <c r="G256" s="26">
        <f>IFERROR(VLOOKUP(L256,CARTON_LOOKUP!$A:$E,4,0),"")</f>
      </c>
      <c r="H256" s="26">
        <f>IFERROR(VLOOKUP(L256,CARTON_LOOKUP!$A:$E,5,0),"")</f>
      </c>
      <c r="I256" s="27">
        <f>IFERROR(VLOOKUP(L256,CARTON_LOOKUP!$A:$E,2,0),"")</f>
      </c>
      <c r="J256" s="15" t="s">
        <v>54</v>
      </c>
      <c r="K256" s="28">
        <v>0.21</v>
      </c>
      <c r="L256" s="15" t="s">
        <v>34</v>
      </c>
      <c r="M256" s="15" t="s">
        <v>101</v>
      </c>
      <c r="N256" s="15" t="s">
        <v>102</v>
      </c>
      <c r="O256" s="15" t="s">
        <v>103</v>
      </c>
      <c r="P256" s="15" t="s">
        <v>104</v>
      </c>
      <c r="Q256" s="15"/>
    </row>
    <row r="257" spans="1:17" x14ac:dyDescent="0.25">
      <c r="A257" s="14"/>
      <c r="B257" s="25"/>
      <c r="C257" s="25"/>
      <c r="D257" s="15"/>
      <c r="E257" s="15"/>
      <c r="F257" s="26">
        <f>IFERROR(VLOOKUP(L257,CARTON_LOOKUP!$A:$E,3,0),"")</f>
      </c>
      <c r="G257" s="26">
        <f>IFERROR(VLOOKUP(L257,CARTON_LOOKUP!$A:$E,4,0),"")</f>
      </c>
      <c r="H257" s="26">
        <f>IFERROR(VLOOKUP(L257,CARTON_LOOKUP!$A:$E,5,0),"")</f>
      </c>
      <c r="I257" s="27">
        <f>IFERROR(VLOOKUP(L257,CARTON_LOOKUP!$A:$E,2,0),"")</f>
      </c>
      <c r="J257" s="15" t="s">
        <v>54</v>
      </c>
      <c r="K257" s="28">
        <v>0.21</v>
      </c>
      <c r="L257" s="15" t="s">
        <v>34</v>
      </c>
      <c r="M257" s="15" t="s">
        <v>101</v>
      </c>
      <c r="N257" s="15" t="s">
        <v>102</v>
      </c>
      <c r="O257" s="15" t="s">
        <v>103</v>
      </c>
      <c r="P257" s="15" t="s">
        <v>104</v>
      </c>
      <c r="Q257" s="15"/>
    </row>
    <row r="258" spans="1:17" x14ac:dyDescent="0.25">
      <c r="A258" s="14"/>
      <c r="B258" s="25"/>
      <c r="C258" s="25"/>
      <c r="D258" s="15"/>
      <c r="E258" s="15"/>
      <c r="F258" s="26">
        <f>IFERROR(VLOOKUP(L258,CARTON_LOOKUP!$A:$E,3,0),"")</f>
      </c>
      <c r="G258" s="26">
        <f>IFERROR(VLOOKUP(L258,CARTON_LOOKUP!$A:$E,4,0),"")</f>
      </c>
      <c r="H258" s="26">
        <f>IFERROR(VLOOKUP(L258,CARTON_LOOKUP!$A:$E,5,0),"")</f>
      </c>
      <c r="I258" s="27">
        <f>IFERROR(VLOOKUP(L258,CARTON_LOOKUP!$A:$E,2,0),"")</f>
      </c>
      <c r="J258" s="15" t="s">
        <v>54</v>
      </c>
      <c r="K258" s="28">
        <v>0.21</v>
      </c>
      <c r="L258" s="15" t="s">
        <v>34</v>
      </c>
      <c r="M258" s="15" t="s">
        <v>101</v>
      </c>
      <c r="N258" s="15" t="s">
        <v>102</v>
      </c>
      <c r="O258" s="15" t="s">
        <v>103</v>
      </c>
      <c r="P258" s="15" t="s">
        <v>104</v>
      </c>
      <c r="Q258" s="15"/>
    </row>
    <row r="259" spans="1:17" x14ac:dyDescent="0.25">
      <c r="A259" s="14"/>
      <c r="B259" s="25"/>
      <c r="C259" s="25"/>
      <c r="D259" s="15"/>
      <c r="E259" s="15"/>
      <c r="F259" s="26">
        <f>IFERROR(VLOOKUP(L259,CARTON_LOOKUP!$A:$E,3,0),"")</f>
      </c>
      <c r="G259" s="26">
        <f>IFERROR(VLOOKUP(L259,CARTON_LOOKUP!$A:$E,4,0),"")</f>
      </c>
      <c r="H259" s="26">
        <f>IFERROR(VLOOKUP(L259,CARTON_LOOKUP!$A:$E,5,0),"")</f>
      </c>
      <c r="I259" s="27">
        <f>IFERROR(VLOOKUP(L259,CARTON_LOOKUP!$A:$E,2,0),"")</f>
      </c>
      <c r="J259" s="15" t="s">
        <v>54</v>
      </c>
      <c r="K259" s="28">
        <v>0.21</v>
      </c>
      <c r="L259" s="15" t="s">
        <v>34</v>
      </c>
      <c r="M259" s="15" t="s">
        <v>101</v>
      </c>
      <c r="N259" s="15" t="s">
        <v>102</v>
      </c>
      <c r="O259" s="15" t="s">
        <v>103</v>
      </c>
      <c r="P259" s="15" t="s">
        <v>104</v>
      </c>
      <c r="Q259" s="15"/>
    </row>
    <row r="260" spans="1:17" x14ac:dyDescent="0.25">
      <c r="A260" s="14"/>
      <c r="B260" s="25"/>
      <c r="C260" s="25"/>
      <c r="D260" s="15"/>
      <c r="E260" s="15"/>
      <c r="F260" s="26">
        <f>IFERROR(VLOOKUP(L260,CARTON_LOOKUP!$A:$E,3,0),"")</f>
      </c>
      <c r="G260" s="26">
        <f>IFERROR(VLOOKUP(L260,CARTON_LOOKUP!$A:$E,4,0),"")</f>
      </c>
      <c r="H260" s="26">
        <f>IFERROR(VLOOKUP(L260,CARTON_LOOKUP!$A:$E,5,0),"")</f>
      </c>
      <c r="I260" s="27">
        <f>IFERROR(VLOOKUP(L260,CARTON_LOOKUP!$A:$E,2,0),"")</f>
      </c>
      <c r="J260" s="15" t="s">
        <v>54</v>
      </c>
      <c r="K260" s="28">
        <v>0.21</v>
      </c>
      <c r="L260" s="15" t="s">
        <v>34</v>
      </c>
      <c r="M260" s="15" t="s">
        <v>101</v>
      </c>
      <c r="N260" s="15" t="s">
        <v>102</v>
      </c>
      <c r="O260" s="15" t="s">
        <v>103</v>
      </c>
      <c r="P260" s="15" t="s">
        <v>104</v>
      </c>
      <c r="Q260" s="15"/>
    </row>
    <row r="261" spans="1:17" x14ac:dyDescent="0.25">
      <c r="A261" s="14"/>
      <c r="B261" s="25"/>
      <c r="C261" s="25"/>
      <c r="D261" s="15"/>
      <c r="E261" s="15"/>
      <c r="F261" s="26">
        <f>IFERROR(VLOOKUP(L261,CARTON_LOOKUP!$A:$E,3,0),"")</f>
      </c>
      <c r="G261" s="26">
        <f>IFERROR(VLOOKUP(L261,CARTON_LOOKUP!$A:$E,4,0),"")</f>
      </c>
      <c r="H261" s="26">
        <f>IFERROR(VLOOKUP(L261,CARTON_LOOKUP!$A:$E,5,0),"")</f>
      </c>
      <c r="I261" s="27">
        <f>IFERROR(VLOOKUP(L261,CARTON_LOOKUP!$A:$E,2,0),"")</f>
      </c>
      <c r="J261" s="15" t="s">
        <v>54</v>
      </c>
      <c r="K261" s="28">
        <v>0.21</v>
      </c>
      <c r="L261" s="15" t="s">
        <v>34</v>
      </c>
      <c r="M261" s="15" t="s">
        <v>101</v>
      </c>
      <c r="N261" s="15" t="s">
        <v>102</v>
      </c>
      <c r="O261" s="15" t="s">
        <v>103</v>
      </c>
      <c r="P261" s="15" t="s">
        <v>104</v>
      </c>
      <c r="Q261" s="15"/>
    </row>
    <row r="262" spans="1:17" x14ac:dyDescent="0.25">
      <c r="A262" s="14"/>
      <c r="B262" s="25"/>
      <c r="C262" s="25"/>
      <c r="D262" s="15"/>
      <c r="E262" s="15"/>
      <c r="F262" s="26">
        <f>IFERROR(VLOOKUP(L262,CARTON_LOOKUP!$A:$E,3,0),"")</f>
      </c>
      <c r="G262" s="26">
        <f>IFERROR(VLOOKUP(L262,CARTON_LOOKUP!$A:$E,4,0),"")</f>
      </c>
      <c r="H262" s="26">
        <f>IFERROR(VLOOKUP(L262,CARTON_LOOKUP!$A:$E,5,0),"")</f>
      </c>
      <c r="I262" s="27">
        <f>IFERROR(VLOOKUP(L262,CARTON_LOOKUP!$A:$E,2,0),"")</f>
      </c>
      <c r="J262" s="15" t="s">
        <v>54</v>
      </c>
      <c r="K262" s="28">
        <v>0.21</v>
      </c>
      <c r="L262" s="15" t="s">
        <v>34</v>
      </c>
      <c r="M262" s="15" t="s">
        <v>101</v>
      </c>
      <c r="N262" s="15" t="s">
        <v>102</v>
      </c>
      <c r="O262" s="15" t="s">
        <v>103</v>
      </c>
      <c r="P262" s="15" t="s">
        <v>104</v>
      </c>
      <c r="Q262" s="15"/>
    </row>
    <row r="263" spans="1:17" x14ac:dyDescent="0.25">
      <c r="A263" s="14"/>
      <c r="B263" s="25"/>
      <c r="C263" s="25"/>
      <c r="D263" s="15"/>
      <c r="E263" s="15"/>
      <c r="F263" s="26">
        <f>IFERROR(VLOOKUP(L263,CARTON_LOOKUP!$A:$E,3,0),"")</f>
      </c>
      <c r="G263" s="26">
        <f>IFERROR(VLOOKUP(L263,CARTON_LOOKUP!$A:$E,4,0),"")</f>
      </c>
      <c r="H263" s="26">
        <f>IFERROR(VLOOKUP(L263,CARTON_LOOKUP!$A:$E,5,0),"")</f>
      </c>
      <c r="I263" s="27">
        <f>IFERROR(VLOOKUP(L263,CARTON_LOOKUP!$A:$E,2,0),"")</f>
      </c>
      <c r="J263" s="15" t="s">
        <v>54</v>
      </c>
      <c r="K263" s="28">
        <v>0.21</v>
      </c>
      <c r="L263" s="15" t="s">
        <v>34</v>
      </c>
      <c r="M263" s="15" t="s">
        <v>101</v>
      </c>
      <c r="N263" s="15" t="s">
        <v>102</v>
      </c>
      <c r="O263" s="15" t="s">
        <v>103</v>
      </c>
      <c r="P263" s="15" t="s">
        <v>104</v>
      </c>
      <c r="Q263" s="15"/>
    </row>
    <row r="264" spans="1:17" x14ac:dyDescent="0.25">
      <c r="A264" s="14"/>
      <c r="B264" s="25"/>
      <c r="C264" s="25"/>
      <c r="D264" s="15"/>
      <c r="E264" s="15"/>
      <c r="F264" s="26">
        <f>IFERROR(VLOOKUP(L264,CARTON_LOOKUP!$A:$E,3,0),"")</f>
      </c>
      <c r="G264" s="26">
        <f>IFERROR(VLOOKUP(L264,CARTON_LOOKUP!$A:$E,4,0),"")</f>
      </c>
      <c r="H264" s="26">
        <f>IFERROR(VLOOKUP(L264,CARTON_LOOKUP!$A:$E,5,0),"")</f>
      </c>
      <c r="I264" s="27">
        <f>IFERROR(VLOOKUP(L264,CARTON_LOOKUP!$A:$E,2,0),"")</f>
      </c>
      <c r="J264" s="15" t="s">
        <v>54</v>
      </c>
      <c r="K264" s="28">
        <v>0.21</v>
      </c>
      <c r="L264" s="15" t="s">
        <v>34</v>
      </c>
      <c r="M264" s="15" t="s">
        <v>101</v>
      </c>
      <c r="N264" s="15" t="s">
        <v>102</v>
      </c>
      <c r="O264" s="15" t="s">
        <v>103</v>
      </c>
      <c r="P264" s="15" t="s">
        <v>104</v>
      </c>
      <c r="Q264" s="15"/>
    </row>
    <row r="265" spans="1:17" x14ac:dyDescent="0.25">
      <c r="A265" s="14"/>
      <c r="B265" s="25"/>
      <c r="C265" s="25"/>
      <c r="D265" s="15"/>
      <c r="E265" s="15"/>
      <c r="F265" s="26">
        <f>IFERROR(VLOOKUP(L265,CARTON_LOOKUP!$A:$E,3,0),"")</f>
      </c>
      <c r="G265" s="26">
        <f>IFERROR(VLOOKUP(L265,CARTON_LOOKUP!$A:$E,4,0),"")</f>
      </c>
      <c r="H265" s="26">
        <f>IFERROR(VLOOKUP(L265,CARTON_LOOKUP!$A:$E,5,0),"")</f>
      </c>
      <c r="I265" s="27">
        <f>IFERROR(VLOOKUP(L265,CARTON_LOOKUP!$A:$E,2,0),"")</f>
      </c>
      <c r="J265" s="15" t="s">
        <v>54</v>
      </c>
      <c r="K265" s="28">
        <v>0.21</v>
      </c>
      <c r="L265" s="15" t="s">
        <v>34</v>
      </c>
      <c r="M265" s="15" t="s">
        <v>101</v>
      </c>
      <c r="N265" s="15" t="s">
        <v>102</v>
      </c>
      <c r="O265" s="15" t="s">
        <v>103</v>
      </c>
      <c r="P265" s="15" t="s">
        <v>104</v>
      </c>
      <c r="Q265" s="15"/>
    </row>
    <row r="266" spans="1:17" x14ac:dyDescent="0.25">
      <c r="A266" s="14"/>
      <c r="B266" s="25"/>
      <c r="C266" s="25"/>
      <c r="D266" s="15"/>
      <c r="E266" s="15"/>
      <c r="F266" s="26">
        <f>IFERROR(VLOOKUP(L266,CARTON_LOOKUP!$A:$E,3,0),"")</f>
      </c>
      <c r="G266" s="26">
        <f>IFERROR(VLOOKUP(L266,CARTON_LOOKUP!$A:$E,4,0),"")</f>
      </c>
      <c r="H266" s="26">
        <f>IFERROR(VLOOKUP(L266,CARTON_LOOKUP!$A:$E,5,0),"")</f>
      </c>
      <c r="I266" s="27">
        <f>IFERROR(VLOOKUP(L266,CARTON_LOOKUP!$A:$E,2,0),"")</f>
      </c>
      <c r="J266" s="15" t="s">
        <v>54</v>
      </c>
      <c r="K266" s="28">
        <v>0.21</v>
      </c>
      <c r="L266" s="15" t="s">
        <v>34</v>
      </c>
      <c r="M266" s="15" t="s">
        <v>101</v>
      </c>
      <c r="N266" s="15" t="s">
        <v>102</v>
      </c>
      <c r="O266" s="15" t="s">
        <v>103</v>
      </c>
      <c r="P266" s="15" t="s">
        <v>104</v>
      </c>
      <c r="Q266" s="15"/>
    </row>
    <row r="267" spans="1:17" x14ac:dyDescent="0.25">
      <c r="A267" s="14"/>
      <c r="B267" s="25"/>
      <c r="C267" s="25"/>
      <c r="D267" s="15"/>
      <c r="E267" s="15"/>
      <c r="F267" s="26">
        <f>IFERROR(VLOOKUP(L267,CARTON_LOOKUP!$A:$E,3,0),"")</f>
      </c>
      <c r="G267" s="26">
        <f>IFERROR(VLOOKUP(L267,CARTON_LOOKUP!$A:$E,4,0),"")</f>
      </c>
      <c r="H267" s="26">
        <f>IFERROR(VLOOKUP(L267,CARTON_LOOKUP!$A:$E,5,0),"")</f>
      </c>
      <c r="I267" s="27">
        <f>IFERROR(VLOOKUP(L267,CARTON_LOOKUP!$A:$E,2,0),"")</f>
      </c>
      <c r="J267" s="15" t="s">
        <v>54</v>
      </c>
      <c r="K267" s="28">
        <v>0.21</v>
      </c>
      <c r="L267" s="15" t="s">
        <v>34</v>
      </c>
      <c r="M267" s="15" t="s">
        <v>101</v>
      </c>
      <c r="N267" s="15" t="s">
        <v>102</v>
      </c>
      <c r="O267" s="15" t="s">
        <v>103</v>
      </c>
      <c r="P267" s="15" t="s">
        <v>104</v>
      </c>
      <c r="Q267" s="15"/>
    </row>
    <row r="268" spans="1:17" x14ac:dyDescent="0.25">
      <c r="A268" s="14"/>
      <c r="B268" s="25"/>
      <c r="C268" s="25"/>
      <c r="D268" s="15"/>
      <c r="E268" s="15"/>
      <c r="F268" s="26">
        <f>IFERROR(VLOOKUP(L268,CARTON_LOOKUP!$A:$E,3,0),"")</f>
      </c>
      <c r="G268" s="26">
        <f>IFERROR(VLOOKUP(L268,CARTON_LOOKUP!$A:$E,4,0),"")</f>
      </c>
      <c r="H268" s="26">
        <f>IFERROR(VLOOKUP(L268,CARTON_LOOKUP!$A:$E,5,0),"")</f>
      </c>
      <c r="I268" s="27">
        <f>IFERROR(VLOOKUP(L268,CARTON_LOOKUP!$A:$E,2,0),"")</f>
      </c>
      <c r="J268" s="15" t="s">
        <v>54</v>
      </c>
      <c r="K268" s="28">
        <v>0.21</v>
      </c>
      <c r="L268" s="15" t="s">
        <v>34</v>
      </c>
      <c r="M268" s="15" t="s">
        <v>101</v>
      </c>
      <c r="N268" s="15" t="s">
        <v>102</v>
      </c>
      <c r="O268" s="15" t="s">
        <v>103</v>
      </c>
      <c r="P268" s="15" t="s">
        <v>104</v>
      </c>
      <c r="Q268" s="15"/>
    </row>
    <row r="269" spans="1:17" x14ac:dyDescent="0.25">
      <c r="A269" s="14"/>
      <c r="B269" s="25"/>
      <c r="C269" s="25"/>
      <c r="D269" s="15"/>
      <c r="E269" s="15"/>
      <c r="F269" s="26">
        <f>IFERROR(VLOOKUP(L269,CARTON_LOOKUP!$A:$E,3,0),"")</f>
      </c>
      <c r="G269" s="26">
        <f>IFERROR(VLOOKUP(L269,CARTON_LOOKUP!$A:$E,4,0),"")</f>
      </c>
      <c r="H269" s="26">
        <f>IFERROR(VLOOKUP(L269,CARTON_LOOKUP!$A:$E,5,0),"")</f>
      </c>
      <c r="I269" s="27">
        <f>IFERROR(VLOOKUP(L269,CARTON_LOOKUP!$A:$E,2,0),"")</f>
      </c>
      <c r="J269" s="15" t="s">
        <v>54</v>
      </c>
      <c r="K269" s="28">
        <v>0.21</v>
      </c>
      <c r="L269" s="15" t="s">
        <v>34</v>
      </c>
      <c r="M269" s="15" t="s">
        <v>101</v>
      </c>
      <c r="N269" s="15" t="s">
        <v>102</v>
      </c>
      <c r="O269" s="15" t="s">
        <v>103</v>
      </c>
      <c r="P269" s="15" t="s">
        <v>104</v>
      </c>
      <c r="Q269" s="15"/>
    </row>
    <row r="270" spans="1:17" x14ac:dyDescent="0.25">
      <c r="A270" s="14"/>
      <c r="B270" s="25"/>
      <c r="C270" s="25"/>
      <c r="D270" s="15"/>
      <c r="E270" s="15"/>
      <c r="F270" s="26">
        <f>IFERROR(VLOOKUP(L270,CARTON_LOOKUP!$A:$E,3,0),"")</f>
      </c>
      <c r="G270" s="26">
        <f>IFERROR(VLOOKUP(L270,CARTON_LOOKUP!$A:$E,4,0),"")</f>
      </c>
      <c r="H270" s="26">
        <f>IFERROR(VLOOKUP(L270,CARTON_LOOKUP!$A:$E,5,0),"")</f>
      </c>
      <c r="I270" s="27">
        <f>IFERROR(VLOOKUP(L270,CARTON_LOOKUP!$A:$E,2,0),"")</f>
      </c>
      <c r="J270" s="15" t="s">
        <v>54</v>
      </c>
      <c r="K270" s="28">
        <v>0.21</v>
      </c>
      <c r="L270" s="15" t="s">
        <v>34</v>
      </c>
      <c r="M270" s="15" t="s">
        <v>101</v>
      </c>
      <c r="N270" s="15" t="s">
        <v>102</v>
      </c>
      <c r="O270" s="15" t="s">
        <v>103</v>
      </c>
      <c r="P270" s="15" t="s">
        <v>104</v>
      </c>
      <c r="Q270" s="15"/>
    </row>
    <row r="271" spans="1:17" x14ac:dyDescent="0.25">
      <c r="A271" s="14"/>
      <c r="B271" s="25"/>
      <c r="C271" s="25"/>
      <c r="D271" s="15"/>
      <c r="E271" s="15"/>
      <c r="F271" s="26">
        <f>IFERROR(VLOOKUP(L271,CARTON_LOOKUP!$A:$E,3,0),"")</f>
      </c>
      <c r="G271" s="26">
        <f>IFERROR(VLOOKUP(L271,CARTON_LOOKUP!$A:$E,4,0),"")</f>
      </c>
      <c r="H271" s="26">
        <f>IFERROR(VLOOKUP(L271,CARTON_LOOKUP!$A:$E,5,0),"")</f>
      </c>
      <c r="I271" s="27">
        <f>IFERROR(VLOOKUP(L271,CARTON_LOOKUP!$A:$E,2,0),"")</f>
      </c>
      <c r="J271" s="15" t="s">
        <v>54</v>
      </c>
      <c r="K271" s="28">
        <v>0.21</v>
      </c>
      <c r="L271" s="15" t="s">
        <v>34</v>
      </c>
      <c r="M271" s="15" t="s">
        <v>101</v>
      </c>
      <c r="N271" s="15" t="s">
        <v>102</v>
      </c>
      <c r="O271" s="15" t="s">
        <v>103</v>
      </c>
      <c r="P271" s="15" t="s">
        <v>104</v>
      </c>
      <c r="Q271" s="15"/>
    </row>
    <row r="272" spans="1:17" x14ac:dyDescent="0.25">
      <c r="A272" s="14"/>
      <c r="B272" s="25"/>
      <c r="C272" s="25"/>
      <c r="D272" s="15"/>
      <c r="E272" s="15"/>
      <c r="F272" s="26">
        <f>IFERROR(VLOOKUP(L272,CARTON_LOOKUP!$A:$E,3,0),"")</f>
      </c>
      <c r="G272" s="26">
        <f>IFERROR(VLOOKUP(L272,CARTON_LOOKUP!$A:$E,4,0),"")</f>
      </c>
      <c r="H272" s="26">
        <f>IFERROR(VLOOKUP(L272,CARTON_LOOKUP!$A:$E,5,0),"")</f>
      </c>
      <c r="I272" s="27">
        <f>IFERROR(VLOOKUP(L272,CARTON_LOOKUP!$A:$E,2,0),"")</f>
      </c>
      <c r="J272" s="15" t="s">
        <v>54</v>
      </c>
      <c r="K272" s="28">
        <v>0.21</v>
      </c>
      <c r="L272" s="15" t="s">
        <v>34</v>
      </c>
      <c r="M272" s="15" t="s">
        <v>101</v>
      </c>
      <c r="N272" s="15" t="s">
        <v>102</v>
      </c>
      <c r="O272" s="15" t="s">
        <v>103</v>
      </c>
      <c r="P272" s="15" t="s">
        <v>104</v>
      </c>
      <c r="Q272" s="15"/>
    </row>
    <row r="273" spans="1:17" x14ac:dyDescent="0.25">
      <c r="A273" s="14"/>
      <c r="B273" s="25"/>
      <c r="C273" s="25"/>
      <c r="D273" s="15"/>
      <c r="E273" s="15"/>
      <c r="F273" s="26">
        <f>IFERROR(VLOOKUP(L273,CARTON_LOOKUP!$A:$E,3,0),"")</f>
      </c>
      <c r="G273" s="26">
        <f>IFERROR(VLOOKUP(L273,CARTON_LOOKUP!$A:$E,4,0),"")</f>
      </c>
      <c r="H273" s="26">
        <f>IFERROR(VLOOKUP(L273,CARTON_LOOKUP!$A:$E,5,0),"")</f>
      </c>
      <c r="I273" s="27">
        <f>IFERROR(VLOOKUP(L273,CARTON_LOOKUP!$A:$E,2,0),"")</f>
      </c>
      <c r="J273" s="15" t="s">
        <v>54</v>
      </c>
      <c r="K273" s="28">
        <v>0.21</v>
      </c>
      <c r="L273" s="15" t="s">
        <v>34</v>
      </c>
      <c r="M273" s="15" t="s">
        <v>101</v>
      </c>
      <c r="N273" s="15" t="s">
        <v>102</v>
      </c>
      <c r="O273" s="15" t="s">
        <v>103</v>
      </c>
      <c r="P273" s="15" t="s">
        <v>104</v>
      </c>
      <c r="Q273" s="15"/>
    </row>
    <row r="274" spans="1:17" x14ac:dyDescent="0.25">
      <c r="A274" s="14"/>
      <c r="B274" s="25"/>
      <c r="C274" s="25"/>
      <c r="D274" s="15"/>
      <c r="E274" s="15"/>
      <c r="F274" s="26">
        <f>IFERROR(VLOOKUP(L274,CARTON_LOOKUP!$A:$E,3,0),"")</f>
      </c>
      <c r="G274" s="26">
        <f>IFERROR(VLOOKUP(L274,CARTON_LOOKUP!$A:$E,4,0),"")</f>
      </c>
      <c r="H274" s="26">
        <f>IFERROR(VLOOKUP(L274,CARTON_LOOKUP!$A:$E,5,0),"")</f>
      </c>
      <c r="I274" s="27">
        <f>IFERROR(VLOOKUP(L274,CARTON_LOOKUP!$A:$E,2,0),"")</f>
      </c>
      <c r="J274" s="15" t="s">
        <v>54</v>
      </c>
      <c r="K274" s="28">
        <v>0.21</v>
      </c>
      <c r="L274" s="15" t="s">
        <v>34</v>
      </c>
      <c r="M274" s="15" t="s">
        <v>101</v>
      </c>
      <c r="N274" s="15" t="s">
        <v>102</v>
      </c>
      <c r="O274" s="15" t="s">
        <v>103</v>
      </c>
      <c r="P274" s="15" t="s">
        <v>104</v>
      </c>
      <c r="Q274" s="15"/>
    </row>
    <row r="275" spans="1:17" x14ac:dyDescent="0.25">
      <c r="A275" s="14"/>
      <c r="B275" s="25"/>
      <c r="C275" s="25"/>
      <c r="D275" s="15"/>
      <c r="E275" s="15"/>
      <c r="F275" s="26">
        <f>IFERROR(VLOOKUP(L275,CARTON_LOOKUP!$A:$E,3,0),"")</f>
      </c>
      <c r="G275" s="26">
        <f>IFERROR(VLOOKUP(L275,CARTON_LOOKUP!$A:$E,4,0),"")</f>
      </c>
      <c r="H275" s="26">
        <f>IFERROR(VLOOKUP(L275,CARTON_LOOKUP!$A:$E,5,0),"")</f>
      </c>
      <c r="I275" s="27">
        <f>IFERROR(VLOOKUP(L275,CARTON_LOOKUP!$A:$E,2,0),"")</f>
      </c>
      <c r="J275" s="15" t="s">
        <v>54</v>
      </c>
      <c r="K275" s="28">
        <v>0.21</v>
      </c>
      <c r="L275" s="15" t="s">
        <v>34</v>
      </c>
      <c r="M275" s="15" t="s">
        <v>101</v>
      </c>
      <c r="N275" s="15" t="s">
        <v>102</v>
      </c>
      <c r="O275" s="15" t="s">
        <v>103</v>
      </c>
      <c r="P275" s="15" t="s">
        <v>104</v>
      </c>
      <c r="Q275" s="15"/>
    </row>
    <row r="276" spans="1:17" x14ac:dyDescent="0.25">
      <c r="A276" s="14"/>
      <c r="B276" s="25"/>
      <c r="C276" s="25"/>
      <c r="D276" s="15"/>
      <c r="E276" s="15"/>
      <c r="F276" s="26">
        <f>IFERROR(VLOOKUP(L276,CARTON_LOOKUP!$A:$E,3,0),"")</f>
      </c>
      <c r="G276" s="26">
        <f>IFERROR(VLOOKUP(L276,CARTON_LOOKUP!$A:$E,4,0),"")</f>
      </c>
      <c r="H276" s="26">
        <f>IFERROR(VLOOKUP(L276,CARTON_LOOKUP!$A:$E,5,0),"")</f>
      </c>
      <c r="I276" s="27">
        <f>IFERROR(VLOOKUP(L276,CARTON_LOOKUP!$A:$E,2,0),"")</f>
      </c>
      <c r="J276" s="15" t="s">
        <v>54</v>
      </c>
      <c r="K276" s="28">
        <v>0.21</v>
      </c>
      <c r="L276" s="15" t="s">
        <v>34</v>
      </c>
      <c r="M276" s="15" t="s">
        <v>101</v>
      </c>
      <c r="N276" s="15" t="s">
        <v>102</v>
      </c>
      <c r="O276" s="15" t="s">
        <v>103</v>
      </c>
      <c r="P276" s="15" t="s">
        <v>104</v>
      </c>
      <c r="Q276" s="15"/>
    </row>
    <row r="277" spans="1:17" x14ac:dyDescent="0.25">
      <c r="A277" s="14"/>
      <c r="B277" s="25"/>
      <c r="C277" s="25"/>
      <c r="D277" s="15"/>
      <c r="E277" s="15"/>
      <c r="F277" s="26">
        <f>IFERROR(VLOOKUP(L277,CARTON_LOOKUP!$A:$E,3,0),"")</f>
      </c>
      <c r="G277" s="26">
        <f>IFERROR(VLOOKUP(L277,CARTON_LOOKUP!$A:$E,4,0),"")</f>
      </c>
      <c r="H277" s="26">
        <f>IFERROR(VLOOKUP(L277,CARTON_LOOKUP!$A:$E,5,0),"")</f>
      </c>
      <c r="I277" s="27">
        <f>IFERROR(VLOOKUP(L277,CARTON_LOOKUP!$A:$E,2,0),"")</f>
      </c>
      <c r="J277" s="15" t="s">
        <v>54</v>
      </c>
      <c r="K277" s="28">
        <v>0.21</v>
      </c>
      <c r="L277" s="15" t="s">
        <v>34</v>
      </c>
      <c r="M277" s="15" t="s">
        <v>101</v>
      </c>
      <c r="N277" s="15" t="s">
        <v>102</v>
      </c>
      <c r="O277" s="15" t="s">
        <v>103</v>
      </c>
      <c r="P277" s="15" t="s">
        <v>104</v>
      </c>
      <c r="Q277" s="15"/>
    </row>
    <row r="278" spans="1:17" x14ac:dyDescent="0.25">
      <c r="A278" s="14"/>
      <c r="B278" s="25"/>
      <c r="C278" s="25"/>
      <c r="D278" s="15"/>
      <c r="E278" s="15"/>
      <c r="F278" s="26">
        <f>IFERROR(VLOOKUP(L278,CARTON_LOOKUP!$A:$E,3,0),"")</f>
      </c>
      <c r="G278" s="26">
        <f>IFERROR(VLOOKUP(L278,CARTON_LOOKUP!$A:$E,4,0),"")</f>
      </c>
      <c r="H278" s="26">
        <f>IFERROR(VLOOKUP(L278,CARTON_LOOKUP!$A:$E,5,0),"")</f>
      </c>
      <c r="I278" s="27">
        <f>IFERROR(VLOOKUP(L278,CARTON_LOOKUP!$A:$E,2,0),"")</f>
      </c>
      <c r="J278" s="15" t="s">
        <v>54</v>
      </c>
      <c r="K278" s="28">
        <v>0.21</v>
      </c>
      <c r="L278" s="15" t="s">
        <v>34</v>
      </c>
      <c r="M278" s="15" t="s">
        <v>101</v>
      </c>
      <c r="N278" s="15" t="s">
        <v>102</v>
      </c>
      <c r="O278" s="15" t="s">
        <v>103</v>
      </c>
      <c r="P278" s="15" t="s">
        <v>104</v>
      </c>
      <c r="Q278" s="15"/>
    </row>
    <row r="279" spans="1:17" x14ac:dyDescent="0.25">
      <c r="A279" s="14"/>
      <c r="B279" s="25"/>
      <c r="C279" s="25"/>
      <c r="D279" s="15"/>
      <c r="E279" s="15"/>
      <c r="F279" s="26">
        <f>IFERROR(VLOOKUP(L279,CARTON_LOOKUP!$A:$E,3,0),"")</f>
      </c>
      <c r="G279" s="26">
        <f>IFERROR(VLOOKUP(L279,CARTON_LOOKUP!$A:$E,4,0),"")</f>
      </c>
      <c r="H279" s="26">
        <f>IFERROR(VLOOKUP(L279,CARTON_LOOKUP!$A:$E,5,0),"")</f>
      </c>
      <c r="I279" s="27">
        <f>IFERROR(VLOOKUP(L279,CARTON_LOOKUP!$A:$E,2,0),"")</f>
      </c>
      <c r="J279" s="15" t="s">
        <v>54</v>
      </c>
      <c r="K279" s="28">
        <v>0.21</v>
      </c>
      <c r="L279" s="15" t="s">
        <v>34</v>
      </c>
      <c r="M279" s="15" t="s">
        <v>101</v>
      </c>
      <c r="N279" s="15" t="s">
        <v>102</v>
      </c>
      <c r="O279" s="15" t="s">
        <v>103</v>
      </c>
      <c r="P279" s="15" t="s">
        <v>104</v>
      </c>
      <c r="Q279" s="15"/>
    </row>
    <row r="280" spans="1:17" x14ac:dyDescent="0.25">
      <c r="A280" s="14"/>
      <c r="B280" s="25"/>
      <c r="C280" s="25"/>
      <c r="D280" s="15"/>
      <c r="E280" s="15"/>
      <c r="F280" s="26">
        <f>IFERROR(VLOOKUP(L280,CARTON_LOOKUP!$A:$E,3,0),"")</f>
      </c>
      <c r="G280" s="26">
        <f>IFERROR(VLOOKUP(L280,CARTON_LOOKUP!$A:$E,4,0),"")</f>
      </c>
      <c r="H280" s="26">
        <f>IFERROR(VLOOKUP(L280,CARTON_LOOKUP!$A:$E,5,0),"")</f>
      </c>
      <c r="I280" s="27">
        <f>IFERROR(VLOOKUP(L280,CARTON_LOOKUP!$A:$E,2,0),"")</f>
      </c>
      <c r="J280" s="15" t="s">
        <v>54</v>
      </c>
      <c r="K280" s="28">
        <v>0.21</v>
      </c>
      <c r="L280" s="15" t="s">
        <v>34</v>
      </c>
      <c r="M280" s="15" t="s">
        <v>101</v>
      </c>
      <c r="N280" s="15" t="s">
        <v>102</v>
      </c>
      <c r="O280" s="15" t="s">
        <v>103</v>
      </c>
      <c r="P280" s="15" t="s">
        <v>104</v>
      </c>
      <c r="Q280" s="15"/>
    </row>
    <row r="281" spans="1:17" x14ac:dyDescent="0.25">
      <c r="A281" s="14"/>
      <c r="B281" s="25"/>
      <c r="C281" s="25"/>
      <c r="D281" s="15"/>
      <c r="E281" s="15"/>
      <c r="F281" s="26">
        <f>IFERROR(VLOOKUP(L281,CARTON_LOOKUP!$A:$E,3,0),"")</f>
      </c>
      <c r="G281" s="26">
        <f>IFERROR(VLOOKUP(L281,CARTON_LOOKUP!$A:$E,4,0),"")</f>
      </c>
      <c r="H281" s="26">
        <f>IFERROR(VLOOKUP(L281,CARTON_LOOKUP!$A:$E,5,0),"")</f>
      </c>
      <c r="I281" s="27">
        <f>IFERROR(VLOOKUP(L281,CARTON_LOOKUP!$A:$E,2,0),"")</f>
      </c>
      <c r="J281" s="15" t="s">
        <v>54</v>
      </c>
      <c r="K281" s="28">
        <v>0.21</v>
      </c>
      <c r="L281" s="15" t="s">
        <v>34</v>
      </c>
      <c r="M281" s="15" t="s">
        <v>101</v>
      </c>
      <c r="N281" s="15" t="s">
        <v>102</v>
      </c>
      <c r="O281" s="15" t="s">
        <v>103</v>
      </c>
      <c r="P281" s="15" t="s">
        <v>104</v>
      </c>
      <c r="Q281" s="15"/>
    </row>
    <row r="282" spans="1:17" x14ac:dyDescent="0.25">
      <c r="A282" s="14"/>
      <c r="B282" s="25"/>
      <c r="C282" s="25"/>
      <c r="D282" s="15"/>
      <c r="E282" s="15"/>
      <c r="F282" s="26">
        <f>IFERROR(VLOOKUP(L282,CARTON_LOOKUP!$A:$E,3,0),"")</f>
      </c>
      <c r="G282" s="26">
        <f>IFERROR(VLOOKUP(L282,CARTON_LOOKUP!$A:$E,4,0),"")</f>
      </c>
      <c r="H282" s="26">
        <f>IFERROR(VLOOKUP(L282,CARTON_LOOKUP!$A:$E,5,0),"")</f>
      </c>
      <c r="I282" s="27">
        <f>IFERROR(VLOOKUP(L282,CARTON_LOOKUP!$A:$E,2,0),"")</f>
      </c>
      <c r="J282" s="15" t="s">
        <v>54</v>
      </c>
      <c r="K282" s="28">
        <v>0.21</v>
      </c>
      <c r="L282" s="15" t="s">
        <v>34</v>
      </c>
      <c r="M282" s="15" t="s">
        <v>101</v>
      </c>
      <c r="N282" s="15" t="s">
        <v>102</v>
      </c>
      <c r="O282" s="15" t="s">
        <v>103</v>
      </c>
      <c r="P282" s="15" t="s">
        <v>104</v>
      </c>
      <c r="Q282" s="15"/>
    </row>
    <row r="283" spans="1:17" x14ac:dyDescent="0.25">
      <c r="A283" s="14"/>
      <c r="B283" s="25"/>
      <c r="C283" s="25"/>
      <c r="D283" s="15"/>
      <c r="E283" s="15"/>
      <c r="F283" s="26">
        <f>IFERROR(VLOOKUP(L283,CARTON_LOOKUP!$A:$E,3,0),"")</f>
      </c>
      <c r="G283" s="26">
        <f>IFERROR(VLOOKUP(L283,CARTON_LOOKUP!$A:$E,4,0),"")</f>
      </c>
      <c r="H283" s="26">
        <f>IFERROR(VLOOKUP(L283,CARTON_LOOKUP!$A:$E,5,0),"")</f>
      </c>
      <c r="I283" s="27">
        <f>IFERROR(VLOOKUP(L283,CARTON_LOOKUP!$A:$E,2,0),"")</f>
      </c>
      <c r="J283" s="15" t="s">
        <v>54</v>
      </c>
      <c r="K283" s="28">
        <v>0.21</v>
      </c>
      <c r="L283" s="15" t="s">
        <v>34</v>
      </c>
      <c r="M283" s="15" t="s">
        <v>101</v>
      </c>
      <c r="N283" s="15" t="s">
        <v>102</v>
      </c>
      <c r="O283" s="15" t="s">
        <v>103</v>
      </c>
      <c r="P283" s="15" t="s">
        <v>104</v>
      </c>
      <c r="Q283" s="15"/>
    </row>
    <row r="284" spans="1:17" x14ac:dyDescent="0.25">
      <c r="A284" s="14"/>
      <c r="B284" s="25"/>
      <c r="C284" s="25"/>
      <c r="D284" s="15"/>
      <c r="E284" s="15"/>
      <c r="F284" s="26">
        <f>IFERROR(VLOOKUP(L284,CARTON_LOOKUP!$A:$E,3,0),"")</f>
      </c>
      <c r="G284" s="26">
        <f>IFERROR(VLOOKUP(L284,CARTON_LOOKUP!$A:$E,4,0),"")</f>
      </c>
      <c r="H284" s="26">
        <f>IFERROR(VLOOKUP(L284,CARTON_LOOKUP!$A:$E,5,0),"")</f>
      </c>
      <c r="I284" s="27">
        <f>IFERROR(VLOOKUP(L284,CARTON_LOOKUP!$A:$E,2,0),"")</f>
      </c>
      <c r="J284" s="15" t="s">
        <v>54</v>
      </c>
      <c r="K284" s="28">
        <v>0.21</v>
      </c>
      <c r="L284" s="15" t="s">
        <v>34</v>
      </c>
      <c r="M284" s="15" t="s">
        <v>101</v>
      </c>
      <c r="N284" s="15" t="s">
        <v>102</v>
      </c>
      <c r="O284" s="15" t="s">
        <v>103</v>
      </c>
      <c r="P284" s="15" t="s">
        <v>104</v>
      </c>
      <c r="Q284" s="15"/>
    </row>
    <row r="285" spans="1:17" x14ac:dyDescent="0.25">
      <c r="A285" s="14"/>
      <c r="B285" s="25"/>
      <c r="C285" s="25"/>
      <c r="D285" s="15"/>
      <c r="E285" s="15"/>
      <c r="F285" s="26">
        <f>IFERROR(VLOOKUP(L285,CARTON_LOOKUP!$A:$E,3,0),"")</f>
      </c>
      <c r="G285" s="26">
        <f>IFERROR(VLOOKUP(L285,CARTON_LOOKUP!$A:$E,4,0),"")</f>
      </c>
      <c r="H285" s="26">
        <f>IFERROR(VLOOKUP(L285,CARTON_LOOKUP!$A:$E,5,0),"")</f>
      </c>
      <c r="I285" s="27">
        <f>IFERROR(VLOOKUP(L285,CARTON_LOOKUP!$A:$E,2,0),"")</f>
      </c>
      <c r="J285" s="15" t="s">
        <v>54</v>
      </c>
      <c r="K285" s="28">
        <v>0.21</v>
      </c>
      <c r="L285" s="15" t="s">
        <v>34</v>
      </c>
      <c r="M285" s="15" t="s">
        <v>101</v>
      </c>
      <c r="N285" s="15" t="s">
        <v>102</v>
      </c>
      <c r="O285" s="15" t="s">
        <v>103</v>
      </c>
      <c r="P285" s="15" t="s">
        <v>104</v>
      </c>
      <c r="Q285" s="15"/>
    </row>
    <row r="286" spans="1:17" x14ac:dyDescent="0.25">
      <c r="A286" s="14"/>
      <c r="B286" s="25"/>
      <c r="C286" s="25"/>
      <c r="D286" s="15"/>
      <c r="E286" s="15"/>
      <c r="F286" s="26">
        <f>IFERROR(VLOOKUP(L286,CARTON_LOOKUP!$A:$E,3,0),"")</f>
      </c>
      <c r="G286" s="26">
        <f>IFERROR(VLOOKUP(L286,CARTON_LOOKUP!$A:$E,4,0),"")</f>
      </c>
      <c r="H286" s="26">
        <f>IFERROR(VLOOKUP(L286,CARTON_LOOKUP!$A:$E,5,0),"")</f>
      </c>
      <c r="I286" s="27">
        <f>IFERROR(VLOOKUP(L286,CARTON_LOOKUP!$A:$E,2,0),"")</f>
      </c>
      <c r="J286" s="15" t="s">
        <v>54</v>
      </c>
      <c r="K286" s="28">
        <v>0.21</v>
      </c>
      <c r="L286" s="15" t="s">
        <v>34</v>
      </c>
      <c r="M286" s="15" t="s">
        <v>101</v>
      </c>
      <c r="N286" s="15" t="s">
        <v>102</v>
      </c>
      <c r="O286" s="15" t="s">
        <v>103</v>
      </c>
      <c r="P286" s="15" t="s">
        <v>104</v>
      </c>
      <c r="Q286" s="15"/>
    </row>
    <row r="287" spans="1:17" x14ac:dyDescent="0.25">
      <c r="A287" s="14"/>
      <c r="B287" s="25"/>
      <c r="C287" s="25"/>
      <c r="D287" s="15"/>
      <c r="E287" s="15"/>
      <c r="F287" s="26">
        <f>IFERROR(VLOOKUP(L287,CARTON_LOOKUP!$A:$E,3,0),"")</f>
      </c>
      <c r="G287" s="26">
        <f>IFERROR(VLOOKUP(L287,CARTON_LOOKUP!$A:$E,4,0),"")</f>
      </c>
      <c r="H287" s="26">
        <f>IFERROR(VLOOKUP(L287,CARTON_LOOKUP!$A:$E,5,0),"")</f>
      </c>
      <c r="I287" s="27">
        <f>IFERROR(VLOOKUP(L287,CARTON_LOOKUP!$A:$E,2,0),"")</f>
      </c>
      <c r="J287" s="15" t="s">
        <v>54</v>
      </c>
      <c r="K287" s="28">
        <v>0.21</v>
      </c>
      <c r="L287" s="15" t="s">
        <v>34</v>
      </c>
      <c r="M287" s="15" t="s">
        <v>101</v>
      </c>
      <c r="N287" s="15" t="s">
        <v>102</v>
      </c>
      <c r="O287" s="15" t="s">
        <v>103</v>
      </c>
      <c r="P287" s="15" t="s">
        <v>104</v>
      </c>
      <c r="Q287" s="15"/>
    </row>
    <row r="288" spans="1:17" x14ac:dyDescent="0.25">
      <c r="A288" s="14"/>
      <c r="B288" s="25"/>
      <c r="C288" s="25"/>
      <c r="D288" s="15"/>
      <c r="E288" s="15"/>
      <c r="F288" s="26">
        <f>IFERROR(VLOOKUP(L288,CARTON_LOOKUP!$A:$E,3,0),"")</f>
      </c>
      <c r="G288" s="26">
        <f>IFERROR(VLOOKUP(L288,CARTON_LOOKUP!$A:$E,4,0),"")</f>
      </c>
      <c r="H288" s="26">
        <f>IFERROR(VLOOKUP(L288,CARTON_LOOKUP!$A:$E,5,0),"")</f>
      </c>
      <c r="I288" s="27">
        <f>IFERROR(VLOOKUP(L288,CARTON_LOOKUP!$A:$E,2,0),"")</f>
      </c>
      <c r="J288" s="15" t="s">
        <v>54</v>
      </c>
      <c r="K288" s="28">
        <v>0.21</v>
      </c>
      <c r="L288" s="15" t="s">
        <v>34</v>
      </c>
      <c r="M288" s="15" t="s">
        <v>101</v>
      </c>
      <c r="N288" s="15" t="s">
        <v>102</v>
      </c>
      <c r="O288" s="15" t="s">
        <v>103</v>
      </c>
      <c r="P288" s="15" t="s">
        <v>104</v>
      </c>
      <c r="Q288" s="15"/>
    </row>
    <row r="289" spans="1:17" x14ac:dyDescent="0.25">
      <c r="A289" s="14"/>
      <c r="B289" s="25"/>
      <c r="C289" s="25"/>
      <c r="D289" s="15"/>
      <c r="E289" s="15"/>
      <c r="F289" s="26">
        <f>IFERROR(VLOOKUP(L289,CARTON_LOOKUP!$A:$E,3,0),"")</f>
      </c>
      <c r="G289" s="26">
        <f>IFERROR(VLOOKUP(L289,CARTON_LOOKUP!$A:$E,4,0),"")</f>
      </c>
      <c r="H289" s="26">
        <f>IFERROR(VLOOKUP(L289,CARTON_LOOKUP!$A:$E,5,0),"")</f>
      </c>
      <c r="I289" s="27">
        <f>IFERROR(VLOOKUP(L289,CARTON_LOOKUP!$A:$E,2,0),"")</f>
      </c>
      <c r="J289" s="15" t="s">
        <v>54</v>
      </c>
      <c r="K289" s="28">
        <v>0.21</v>
      </c>
      <c r="L289" s="15" t="s">
        <v>34</v>
      </c>
      <c r="M289" s="15" t="s">
        <v>101</v>
      </c>
      <c r="N289" s="15" t="s">
        <v>102</v>
      </c>
      <c r="O289" s="15" t="s">
        <v>103</v>
      </c>
      <c r="P289" s="15" t="s">
        <v>104</v>
      </c>
      <c r="Q289" s="15"/>
    </row>
    <row r="290" spans="1:17" x14ac:dyDescent="0.25">
      <c r="A290" s="14"/>
      <c r="B290" s="25"/>
      <c r="C290" s="25"/>
      <c r="D290" s="15"/>
      <c r="E290" s="15"/>
      <c r="F290" s="26">
        <f>IFERROR(VLOOKUP(L290,CARTON_LOOKUP!$A:$E,3,0),"")</f>
      </c>
      <c r="G290" s="26">
        <f>IFERROR(VLOOKUP(L290,CARTON_LOOKUP!$A:$E,4,0),"")</f>
      </c>
      <c r="H290" s="26">
        <f>IFERROR(VLOOKUP(L290,CARTON_LOOKUP!$A:$E,5,0),"")</f>
      </c>
      <c r="I290" s="27">
        <f>IFERROR(VLOOKUP(L290,CARTON_LOOKUP!$A:$E,2,0),"")</f>
      </c>
      <c r="J290" s="15" t="s">
        <v>54</v>
      </c>
      <c r="K290" s="28">
        <v>0.21</v>
      </c>
      <c r="L290" s="15" t="s">
        <v>34</v>
      </c>
      <c r="M290" s="15" t="s">
        <v>101</v>
      </c>
      <c r="N290" s="15" t="s">
        <v>102</v>
      </c>
      <c r="O290" s="15" t="s">
        <v>103</v>
      </c>
      <c r="P290" s="15" t="s">
        <v>104</v>
      </c>
      <c r="Q290" s="15"/>
    </row>
    <row r="291" spans="1:17" x14ac:dyDescent="0.25">
      <c r="A291" s="14"/>
      <c r="B291" s="25"/>
      <c r="C291" s="25"/>
      <c r="D291" s="15"/>
      <c r="E291" s="15"/>
      <c r="F291" s="26">
        <f>IFERROR(VLOOKUP(L291,CARTON_LOOKUP!$A:$E,3,0),"")</f>
      </c>
      <c r="G291" s="26">
        <f>IFERROR(VLOOKUP(L291,CARTON_LOOKUP!$A:$E,4,0),"")</f>
      </c>
      <c r="H291" s="26">
        <f>IFERROR(VLOOKUP(L291,CARTON_LOOKUP!$A:$E,5,0),"")</f>
      </c>
      <c r="I291" s="27">
        <f>IFERROR(VLOOKUP(L291,CARTON_LOOKUP!$A:$E,2,0),"")</f>
      </c>
      <c r="J291" s="15" t="s">
        <v>54</v>
      </c>
      <c r="K291" s="28">
        <v>0.21</v>
      </c>
      <c r="L291" s="15" t="s">
        <v>34</v>
      </c>
      <c r="M291" s="15" t="s">
        <v>101</v>
      </c>
      <c r="N291" s="15" t="s">
        <v>102</v>
      </c>
      <c r="O291" s="15" t="s">
        <v>103</v>
      </c>
      <c r="P291" s="15" t="s">
        <v>104</v>
      </c>
      <c r="Q291" s="15"/>
    </row>
    <row r="292" spans="1:17" x14ac:dyDescent="0.25">
      <c r="A292" s="14"/>
      <c r="B292" s="25"/>
      <c r="C292" s="25"/>
      <c r="D292" s="15"/>
      <c r="E292" s="15"/>
      <c r="F292" s="26">
        <f>IFERROR(VLOOKUP(L292,CARTON_LOOKUP!$A:$E,3,0),"")</f>
      </c>
      <c r="G292" s="26">
        <f>IFERROR(VLOOKUP(L292,CARTON_LOOKUP!$A:$E,4,0),"")</f>
      </c>
      <c r="H292" s="26">
        <f>IFERROR(VLOOKUP(L292,CARTON_LOOKUP!$A:$E,5,0),"")</f>
      </c>
      <c r="I292" s="27">
        <f>IFERROR(VLOOKUP(L292,CARTON_LOOKUP!$A:$E,2,0),"")</f>
      </c>
      <c r="J292" s="15" t="s">
        <v>54</v>
      </c>
      <c r="K292" s="28">
        <v>0.21</v>
      </c>
      <c r="L292" s="15" t="s">
        <v>34</v>
      </c>
      <c r="M292" s="15" t="s">
        <v>101</v>
      </c>
      <c r="N292" s="15" t="s">
        <v>102</v>
      </c>
      <c r="O292" s="15" t="s">
        <v>103</v>
      </c>
      <c r="P292" s="15" t="s">
        <v>104</v>
      </c>
      <c r="Q292" s="15"/>
    </row>
    <row r="293" spans="1:17" x14ac:dyDescent="0.25">
      <c r="A293" s="14"/>
      <c r="B293" s="25"/>
      <c r="C293" s="25"/>
      <c r="D293" s="15"/>
      <c r="E293" s="15"/>
      <c r="F293" s="26">
        <f>IFERROR(VLOOKUP(L293,CARTON_LOOKUP!$A:$E,3,0),"")</f>
      </c>
      <c r="G293" s="26">
        <f>IFERROR(VLOOKUP(L293,CARTON_LOOKUP!$A:$E,4,0),"")</f>
      </c>
      <c r="H293" s="26">
        <f>IFERROR(VLOOKUP(L293,CARTON_LOOKUP!$A:$E,5,0),"")</f>
      </c>
      <c r="I293" s="27">
        <f>IFERROR(VLOOKUP(L293,CARTON_LOOKUP!$A:$E,2,0),"")</f>
      </c>
      <c r="J293" s="15" t="s">
        <v>54</v>
      </c>
      <c r="K293" s="28">
        <v>0.21</v>
      </c>
      <c r="L293" s="15" t="s">
        <v>34</v>
      </c>
      <c r="M293" s="15" t="s">
        <v>101</v>
      </c>
      <c r="N293" s="15" t="s">
        <v>102</v>
      </c>
      <c r="O293" s="15" t="s">
        <v>103</v>
      </c>
      <c r="P293" s="15" t="s">
        <v>104</v>
      </c>
      <c r="Q293" s="15"/>
    </row>
    <row r="294" spans="1:17" x14ac:dyDescent="0.25">
      <c r="A294" s="14"/>
      <c r="B294" s="25"/>
      <c r="C294" s="25"/>
      <c r="D294" s="15"/>
      <c r="E294" s="15"/>
      <c r="F294" s="26">
        <f>IFERROR(VLOOKUP(L294,CARTON_LOOKUP!$A:$E,3,0),"")</f>
      </c>
      <c r="G294" s="26">
        <f>IFERROR(VLOOKUP(L294,CARTON_LOOKUP!$A:$E,4,0),"")</f>
      </c>
      <c r="H294" s="26">
        <f>IFERROR(VLOOKUP(L294,CARTON_LOOKUP!$A:$E,5,0),"")</f>
      </c>
      <c r="I294" s="27">
        <f>IFERROR(VLOOKUP(L294,CARTON_LOOKUP!$A:$E,2,0),"")</f>
      </c>
      <c r="J294" s="15" t="s">
        <v>54</v>
      </c>
      <c r="K294" s="28">
        <v>0.21</v>
      </c>
      <c r="L294" s="15" t="s">
        <v>34</v>
      </c>
      <c r="M294" s="15" t="s">
        <v>101</v>
      </c>
      <c r="N294" s="15" t="s">
        <v>102</v>
      </c>
      <c r="O294" s="15" t="s">
        <v>103</v>
      </c>
      <c r="P294" s="15" t="s">
        <v>104</v>
      </c>
      <c r="Q294" s="15"/>
    </row>
    <row r="295" spans="1:17" x14ac:dyDescent="0.25">
      <c r="A295" s="14"/>
      <c r="B295" s="25"/>
      <c r="C295" s="25"/>
      <c r="D295" s="15"/>
      <c r="E295" s="15"/>
      <c r="F295" s="26">
        <f>IFERROR(VLOOKUP(L295,CARTON_LOOKUP!$A:$E,3,0),"")</f>
      </c>
      <c r="G295" s="26">
        <f>IFERROR(VLOOKUP(L295,CARTON_LOOKUP!$A:$E,4,0),"")</f>
      </c>
      <c r="H295" s="26">
        <f>IFERROR(VLOOKUP(L295,CARTON_LOOKUP!$A:$E,5,0),"")</f>
      </c>
      <c r="I295" s="27">
        <f>IFERROR(VLOOKUP(L295,CARTON_LOOKUP!$A:$E,2,0),"")</f>
      </c>
      <c r="J295" s="15" t="s">
        <v>54</v>
      </c>
      <c r="K295" s="28">
        <v>0.21</v>
      </c>
      <c r="L295" s="15" t="s">
        <v>34</v>
      </c>
      <c r="M295" s="15" t="s">
        <v>101</v>
      </c>
      <c r="N295" s="15" t="s">
        <v>102</v>
      </c>
      <c r="O295" s="15" t="s">
        <v>103</v>
      </c>
      <c r="P295" s="15" t="s">
        <v>104</v>
      </c>
      <c r="Q295" s="15"/>
    </row>
    <row r="296" spans="1:17" x14ac:dyDescent="0.25">
      <c r="A296" s="14"/>
      <c r="B296" s="25"/>
      <c r="C296" s="25"/>
      <c r="D296" s="15"/>
      <c r="E296" s="15"/>
      <c r="F296" s="26">
        <f>IFERROR(VLOOKUP(L296,CARTON_LOOKUP!$A:$E,3,0),"")</f>
      </c>
      <c r="G296" s="26">
        <f>IFERROR(VLOOKUP(L296,CARTON_LOOKUP!$A:$E,4,0),"")</f>
      </c>
      <c r="H296" s="26">
        <f>IFERROR(VLOOKUP(L296,CARTON_LOOKUP!$A:$E,5,0),"")</f>
      </c>
      <c r="I296" s="27">
        <f>IFERROR(VLOOKUP(L296,CARTON_LOOKUP!$A:$E,2,0),"")</f>
      </c>
      <c r="J296" s="15" t="s">
        <v>54</v>
      </c>
      <c r="K296" s="28">
        <v>0.21</v>
      </c>
      <c r="L296" s="15" t="s">
        <v>34</v>
      </c>
      <c r="M296" s="15" t="s">
        <v>101</v>
      </c>
      <c r="N296" s="15" t="s">
        <v>102</v>
      </c>
      <c r="O296" s="15" t="s">
        <v>103</v>
      </c>
      <c r="P296" s="15" t="s">
        <v>104</v>
      </c>
      <c r="Q296" s="15"/>
    </row>
    <row r="297" spans="1:17" x14ac:dyDescent="0.25">
      <c r="A297" s="14"/>
      <c r="B297" s="25"/>
      <c r="C297" s="25"/>
      <c r="D297" s="15"/>
      <c r="E297" s="15"/>
      <c r="F297" s="26">
        <f>IFERROR(VLOOKUP(L297,CARTON_LOOKUP!$A:$E,3,0),"")</f>
      </c>
      <c r="G297" s="26">
        <f>IFERROR(VLOOKUP(L297,CARTON_LOOKUP!$A:$E,4,0),"")</f>
      </c>
      <c r="H297" s="26">
        <f>IFERROR(VLOOKUP(L297,CARTON_LOOKUP!$A:$E,5,0),"")</f>
      </c>
      <c r="I297" s="27">
        <f>IFERROR(VLOOKUP(L297,CARTON_LOOKUP!$A:$E,2,0),"")</f>
      </c>
      <c r="J297" s="15" t="s">
        <v>54</v>
      </c>
      <c r="K297" s="28">
        <v>0.21</v>
      </c>
      <c r="L297" s="15" t="s">
        <v>34</v>
      </c>
      <c r="M297" s="15" t="s">
        <v>101</v>
      </c>
      <c r="N297" s="15" t="s">
        <v>102</v>
      </c>
      <c r="O297" s="15" t="s">
        <v>103</v>
      </c>
      <c r="P297" s="15" t="s">
        <v>104</v>
      </c>
      <c r="Q297" s="15"/>
    </row>
    <row r="298" spans="1:17" x14ac:dyDescent="0.25">
      <c r="A298" s="14"/>
      <c r="B298" s="25"/>
      <c r="C298" s="25"/>
      <c r="D298" s="15"/>
      <c r="E298" s="15"/>
      <c r="F298" s="26">
        <f>IFERROR(VLOOKUP(L298,CARTON_LOOKUP!$A:$E,3,0),"")</f>
      </c>
      <c r="G298" s="26">
        <f>IFERROR(VLOOKUP(L298,CARTON_LOOKUP!$A:$E,4,0),"")</f>
      </c>
      <c r="H298" s="26">
        <f>IFERROR(VLOOKUP(L298,CARTON_LOOKUP!$A:$E,5,0),"")</f>
      </c>
      <c r="I298" s="27">
        <f>IFERROR(VLOOKUP(L298,CARTON_LOOKUP!$A:$E,2,0),"")</f>
      </c>
      <c r="J298" s="15" t="s">
        <v>54</v>
      </c>
      <c r="K298" s="28">
        <v>0.21</v>
      </c>
      <c r="L298" s="15" t="s">
        <v>34</v>
      </c>
      <c r="M298" s="15" t="s">
        <v>101</v>
      </c>
      <c r="N298" s="15" t="s">
        <v>102</v>
      </c>
      <c r="O298" s="15" t="s">
        <v>103</v>
      </c>
      <c r="P298" s="15" t="s">
        <v>104</v>
      </c>
      <c r="Q298" s="15"/>
    </row>
    <row r="299" spans="1:17" x14ac:dyDescent="0.25">
      <c r="A299" s="14"/>
      <c r="B299" s="25"/>
      <c r="C299" s="25"/>
      <c r="D299" s="15"/>
      <c r="E299" s="15"/>
      <c r="F299" s="26">
        <f>IFERROR(VLOOKUP(L299,CARTON_LOOKUP!$A:$E,3,0),"")</f>
      </c>
      <c r="G299" s="26">
        <f>IFERROR(VLOOKUP(L299,CARTON_LOOKUP!$A:$E,4,0),"")</f>
      </c>
      <c r="H299" s="26">
        <f>IFERROR(VLOOKUP(L299,CARTON_LOOKUP!$A:$E,5,0),"")</f>
      </c>
      <c r="I299" s="27">
        <f>IFERROR(VLOOKUP(L299,CARTON_LOOKUP!$A:$E,2,0),"")</f>
      </c>
      <c r="J299" s="15" t="s">
        <v>54</v>
      </c>
      <c r="K299" s="28">
        <v>0.21</v>
      </c>
      <c r="L299" s="15" t="s">
        <v>34</v>
      </c>
      <c r="M299" s="15" t="s">
        <v>101</v>
      </c>
      <c r="N299" s="15" t="s">
        <v>102</v>
      </c>
      <c r="O299" s="15" t="s">
        <v>103</v>
      </c>
      <c r="P299" s="15" t="s">
        <v>104</v>
      </c>
      <c r="Q299" s="15"/>
    </row>
    <row r="300" spans="1:17" x14ac:dyDescent="0.25">
      <c r="A300" s="14"/>
      <c r="B300" s="25"/>
      <c r="C300" s="25"/>
      <c r="D300" s="15"/>
      <c r="E300" s="15"/>
      <c r="F300" s="26">
        <f>IFERROR(VLOOKUP(L300,CARTON_LOOKUP!$A:$E,3,0),"")</f>
      </c>
      <c r="G300" s="26">
        <f>IFERROR(VLOOKUP(L300,CARTON_LOOKUP!$A:$E,4,0),"")</f>
      </c>
      <c r="H300" s="26">
        <f>IFERROR(VLOOKUP(L300,CARTON_LOOKUP!$A:$E,5,0),"")</f>
      </c>
      <c r="I300" s="27">
        <f>IFERROR(VLOOKUP(L300,CARTON_LOOKUP!$A:$E,2,0),"")</f>
      </c>
      <c r="J300" s="15" t="s">
        <v>54</v>
      </c>
      <c r="K300" s="28">
        <v>0.21</v>
      </c>
      <c r="L300" s="15" t="s">
        <v>34</v>
      </c>
      <c r="M300" s="15" t="s">
        <v>101</v>
      </c>
      <c r="N300" s="15" t="s">
        <v>102</v>
      </c>
      <c r="O300" s="15" t="s">
        <v>103</v>
      </c>
      <c r="P300" s="15" t="s">
        <v>104</v>
      </c>
      <c r="Q300" s="15"/>
    </row>
    <row r="301" spans="1:17" x14ac:dyDescent="0.25">
      <c r="A301" s="14"/>
      <c r="B301" s="25"/>
      <c r="C301" s="25"/>
      <c r="D301" s="15"/>
      <c r="E301" s="15"/>
      <c r="F301" s="26">
        <f>IFERROR(VLOOKUP(L301,CARTON_LOOKUP!$A:$E,3,0),"")</f>
      </c>
      <c r="G301" s="26">
        <f>IFERROR(VLOOKUP(L301,CARTON_LOOKUP!$A:$E,4,0),"")</f>
      </c>
      <c r="H301" s="26">
        <f>IFERROR(VLOOKUP(L301,CARTON_LOOKUP!$A:$E,5,0),"")</f>
      </c>
      <c r="I301" s="27">
        <f>IFERROR(VLOOKUP(L301,CARTON_LOOKUP!$A:$E,2,0),"")</f>
      </c>
      <c r="J301" s="15" t="s">
        <v>54</v>
      </c>
      <c r="K301" s="28">
        <v>0.21</v>
      </c>
      <c r="L301" s="15" t="s">
        <v>34</v>
      </c>
      <c r="M301" s="15" t="s">
        <v>101</v>
      </c>
      <c r="N301" s="15" t="s">
        <v>102</v>
      </c>
      <c r="O301" s="15" t="s">
        <v>103</v>
      </c>
      <c r="P301" s="15" t="s">
        <v>104</v>
      </c>
      <c r="Q301" s="15"/>
    </row>
    <row r="302" spans="1:17" x14ac:dyDescent="0.25">
      <c r="A302" s="14"/>
      <c r="B302" s="25"/>
      <c r="C302" s="25"/>
      <c r="D302" s="15"/>
      <c r="E302" s="15"/>
      <c r="F302" s="26">
        <f>IFERROR(VLOOKUP(L302,CARTON_LOOKUP!$A:$E,3,0),"")</f>
      </c>
      <c r="G302" s="26">
        <f>IFERROR(VLOOKUP(L302,CARTON_LOOKUP!$A:$E,4,0),"")</f>
      </c>
      <c r="H302" s="26">
        <f>IFERROR(VLOOKUP(L302,CARTON_LOOKUP!$A:$E,5,0),"")</f>
      </c>
      <c r="I302" s="27">
        <f>IFERROR(VLOOKUP(L302,CARTON_LOOKUP!$A:$E,2,0),"")</f>
      </c>
      <c r="J302" s="15" t="s">
        <v>54</v>
      </c>
      <c r="K302" s="28">
        <v>0.21</v>
      </c>
      <c r="L302" s="15" t="s">
        <v>34</v>
      </c>
      <c r="M302" s="15" t="s">
        <v>101</v>
      </c>
      <c r="N302" s="15" t="s">
        <v>102</v>
      </c>
      <c r="O302" s="15" t="s">
        <v>103</v>
      </c>
      <c r="P302" s="15" t="s">
        <v>104</v>
      </c>
      <c r="Q302" s="15"/>
    </row>
    <row r="303" spans="1:17" x14ac:dyDescent="0.25">
      <c r="A303" s="14"/>
      <c r="B303" s="25"/>
      <c r="C303" s="25"/>
      <c r="D303" s="15"/>
      <c r="E303" s="15"/>
      <c r="F303" s="26">
        <f>IFERROR(VLOOKUP(L303,CARTON_LOOKUP!$A:$E,3,0),"")</f>
      </c>
      <c r="G303" s="26">
        <f>IFERROR(VLOOKUP(L303,CARTON_LOOKUP!$A:$E,4,0),"")</f>
      </c>
      <c r="H303" s="26">
        <f>IFERROR(VLOOKUP(L303,CARTON_LOOKUP!$A:$E,5,0),"")</f>
      </c>
      <c r="I303" s="27">
        <f>IFERROR(VLOOKUP(L303,CARTON_LOOKUP!$A:$E,2,0),"")</f>
      </c>
      <c r="J303" s="15" t="s">
        <v>54</v>
      </c>
      <c r="K303" s="28">
        <v>0.21</v>
      </c>
      <c r="L303" s="15" t="s">
        <v>34</v>
      </c>
      <c r="M303" s="15" t="s">
        <v>101</v>
      </c>
      <c r="N303" s="15" t="s">
        <v>102</v>
      </c>
      <c r="O303" s="15" t="s">
        <v>103</v>
      </c>
      <c r="P303" s="15" t="s">
        <v>104</v>
      </c>
      <c r="Q303" s="15"/>
    </row>
    <row r="304" spans="1:17" x14ac:dyDescent="0.25">
      <c r="A304" s="14"/>
      <c r="B304" s="25"/>
      <c r="C304" s="25"/>
      <c r="D304" s="15"/>
      <c r="E304" s="15"/>
      <c r="F304" s="26">
        <f>IFERROR(VLOOKUP(L304,CARTON_LOOKUP!$A:$E,3,0),"")</f>
      </c>
      <c r="G304" s="26">
        <f>IFERROR(VLOOKUP(L304,CARTON_LOOKUP!$A:$E,4,0),"")</f>
      </c>
      <c r="H304" s="26">
        <f>IFERROR(VLOOKUP(L304,CARTON_LOOKUP!$A:$E,5,0),"")</f>
      </c>
      <c r="I304" s="27">
        <f>IFERROR(VLOOKUP(L304,CARTON_LOOKUP!$A:$E,2,0),"")</f>
      </c>
      <c r="J304" s="15" t="s">
        <v>54</v>
      </c>
      <c r="K304" s="28">
        <v>0.21</v>
      </c>
      <c r="L304" s="15" t="s">
        <v>34</v>
      </c>
      <c r="M304" s="15" t="s">
        <v>101</v>
      </c>
      <c r="N304" s="15" t="s">
        <v>102</v>
      </c>
      <c r="O304" s="15" t="s">
        <v>103</v>
      </c>
      <c r="P304" s="15" t="s">
        <v>104</v>
      </c>
      <c r="Q304" s="15"/>
    </row>
    <row r="305" spans="1:17" x14ac:dyDescent="0.25">
      <c r="A305" s="14"/>
      <c r="B305" s="25"/>
      <c r="C305" s="25"/>
      <c r="D305" s="15"/>
      <c r="E305" s="15"/>
      <c r="F305" s="26">
        <f>IFERROR(VLOOKUP(L305,CARTON_LOOKUP!$A:$E,3,0),"")</f>
      </c>
      <c r="G305" s="26">
        <f>IFERROR(VLOOKUP(L305,CARTON_LOOKUP!$A:$E,4,0),"")</f>
      </c>
      <c r="H305" s="26">
        <f>IFERROR(VLOOKUP(L305,CARTON_LOOKUP!$A:$E,5,0),"")</f>
      </c>
      <c r="I305" s="27">
        <f>IFERROR(VLOOKUP(L305,CARTON_LOOKUP!$A:$E,2,0),"")</f>
      </c>
      <c r="J305" s="15" t="s">
        <v>54</v>
      </c>
      <c r="K305" s="28">
        <v>0.21</v>
      </c>
      <c r="L305" s="15" t="s">
        <v>34</v>
      </c>
      <c r="M305" s="15" t="s">
        <v>101</v>
      </c>
      <c r="N305" s="15" t="s">
        <v>102</v>
      </c>
      <c r="O305" s="15" t="s">
        <v>103</v>
      </c>
      <c r="P305" s="15" t="s">
        <v>104</v>
      </c>
      <c r="Q305" s="15"/>
    </row>
    <row r="306" spans="1:17" x14ac:dyDescent="0.25">
      <c r="A306" s="14"/>
      <c r="B306" s="25"/>
      <c r="C306" s="25"/>
      <c r="D306" s="15"/>
      <c r="E306" s="15"/>
      <c r="F306" s="26">
        <f>IFERROR(VLOOKUP(L306,CARTON_LOOKUP!$A:$E,3,0),"")</f>
      </c>
      <c r="G306" s="26">
        <f>IFERROR(VLOOKUP(L306,CARTON_LOOKUP!$A:$E,4,0),"")</f>
      </c>
      <c r="H306" s="26">
        <f>IFERROR(VLOOKUP(L306,CARTON_LOOKUP!$A:$E,5,0),"")</f>
      </c>
      <c r="I306" s="27">
        <f>IFERROR(VLOOKUP(L306,CARTON_LOOKUP!$A:$E,2,0),"")</f>
      </c>
      <c r="J306" s="15" t="s">
        <v>54</v>
      </c>
      <c r="K306" s="28">
        <v>0.21</v>
      </c>
      <c r="L306" s="15" t="s">
        <v>34</v>
      </c>
      <c r="M306" s="15" t="s">
        <v>101</v>
      </c>
      <c r="N306" s="15" t="s">
        <v>102</v>
      </c>
      <c r="O306" s="15" t="s">
        <v>103</v>
      </c>
      <c r="P306" s="15" t="s">
        <v>104</v>
      </c>
      <c r="Q306" s="15"/>
    </row>
    <row r="307" spans="1:17" x14ac:dyDescent="0.25">
      <c r="A307" s="14"/>
      <c r="B307" s="25"/>
      <c r="C307" s="25"/>
      <c r="D307" s="15"/>
      <c r="E307" s="15"/>
      <c r="F307" s="26">
        <f>IFERROR(VLOOKUP(L307,CARTON_LOOKUP!$A:$E,3,0),"")</f>
      </c>
      <c r="G307" s="26">
        <f>IFERROR(VLOOKUP(L307,CARTON_LOOKUP!$A:$E,4,0),"")</f>
      </c>
      <c r="H307" s="26">
        <f>IFERROR(VLOOKUP(L307,CARTON_LOOKUP!$A:$E,5,0),"")</f>
      </c>
      <c r="I307" s="27">
        <f>IFERROR(VLOOKUP(L307,CARTON_LOOKUP!$A:$E,2,0),"")</f>
      </c>
      <c r="J307" s="15" t="s">
        <v>54</v>
      </c>
      <c r="K307" s="28">
        <v>0.21</v>
      </c>
      <c r="L307" s="15" t="s">
        <v>34</v>
      </c>
      <c r="M307" s="15" t="s">
        <v>101</v>
      </c>
      <c r="N307" s="15" t="s">
        <v>102</v>
      </c>
      <c r="O307" s="15" t="s">
        <v>103</v>
      </c>
      <c r="P307" s="15" t="s">
        <v>104</v>
      </c>
      <c r="Q307" s="15"/>
    </row>
    <row r="308" spans="1:17" x14ac:dyDescent="0.25">
      <c r="A308" s="14"/>
      <c r="B308" s="25"/>
      <c r="C308" s="25"/>
      <c r="D308" s="15"/>
      <c r="E308" s="15"/>
      <c r="F308" s="26">
        <f>IFERROR(VLOOKUP(L308,CARTON_LOOKUP!$A:$E,3,0),"")</f>
      </c>
      <c r="G308" s="26">
        <f>IFERROR(VLOOKUP(L308,CARTON_LOOKUP!$A:$E,4,0),"")</f>
      </c>
      <c r="H308" s="26">
        <f>IFERROR(VLOOKUP(L308,CARTON_LOOKUP!$A:$E,5,0),"")</f>
      </c>
      <c r="I308" s="27">
        <f>IFERROR(VLOOKUP(L308,CARTON_LOOKUP!$A:$E,2,0),"")</f>
      </c>
      <c r="J308" s="15" t="s">
        <v>54</v>
      </c>
      <c r="K308" s="28">
        <v>0.21</v>
      </c>
      <c r="L308" s="15" t="s">
        <v>34</v>
      </c>
      <c r="M308" s="15" t="s">
        <v>101</v>
      </c>
      <c r="N308" s="15" t="s">
        <v>102</v>
      </c>
      <c r="O308" s="15" t="s">
        <v>103</v>
      </c>
      <c r="P308" s="15" t="s">
        <v>104</v>
      </c>
      <c r="Q308" s="15"/>
    </row>
    <row r="309" spans="1:17" x14ac:dyDescent="0.25">
      <c r="A309" s="14"/>
      <c r="B309" s="25"/>
      <c r="C309" s="25"/>
      <c r="D309" s="15"/>
      <c r="E309" s="15"/>
      <c r="F309" s="26">
        <f>IFERROR(VLOOKUP(L309,CARTON_LOOKUP!$A:$E,3,0),"")</f>
      </c>
      <c r="G309" s="26">
        <f>IFERROR(VLOOKUP(L309,CARTON_LOOKUP!$A:$E,4,0),"")</f>
      </c>
      <c r="H309" s="26">
        <f>IFERROR(VLOOKUP(L309,CARTON_LOOKUP!$A:$E,5,0),"")</f>
      </c>
      <c r="I309" s="27">
        <f>IFERROR(VLOOKUP(L309,CARTON_LOOKUP!$A:$E,2,0),"")</f>
      </c>
      <c r="J309" s="15" t="s">
        <v>54</v>
      </c>
      <c r="K309" s="28">
        <v>0.21</v>
      </c>
      <c r="L309" s="15" t="s">
        <v>34</v>
      </c>
      <c r="M309" s="15" t="s">
        <v>101</v>
      </c>
      <c r="N309" s="15" t="s">
        <v>102</v>
      </c>
      <c r="O309" s="15" t="s">
        <v>103</v>
      </c>
      <c r="P309" s="15" t="s">
        <v>104</v>
      </c>
      <c r="Q309" s="15"/>
    </row>
    <row r="310" spans="1:17" x14ac:dyDescent="0.25">
      <c r="A310" s="14"/>
      <c r="B310" s="25"/>
      <c r="C310" s="25"/>
      <c r="D310" s="15"/>
      <c r="E310" s="15"/>
      <c r="F310" s="26">
        <f>IFERROR(VLOOKUP(L310,CARTON_LOOKUP!$A:$E,3,0),"")</f>
      </c>
      <c r="G310" s="26">
        <f>IFERROR(VLOOKUP(L310,CARTON_LOOKUP!$A:$E,4,0),"")</f>
      </c>
      <c r="H310" s="26">
        <f>IFERROR(VLOOKUP(L310,CARTON_LOOKUP!$A:$E,5,0),"")</f>
      </c>
      <c r="I310" s="27">
        <f>IFERROR(VLOOKUP(L310,CARTON_LOOKUP!$A:$E,2,0),"")</f>
      </c>
      <c r="J310" s="15" t="s">
        <v>54</v>
      </c>
      <c r="K310" s="28">
        <v>0.21</v>
      </c>
      <c r="L310" s="15" t="s">
        <v>34</v>
      </c>
      <c r="M310" s="15" t="s">
        <v>101</v>
      </c>
      <c r="N310" s="15" t="s">
        <v>102</v>
      </c>
      <c r="O310" s="15" t="s">
        <v>103</v>
      </c>
      <c r="P310" s="15" t="s">
        <v>104</v>
      </c>
      <c r="Q310" s="15"/>
    </row>
    <row r="311" spans="1:17" x14ac:dyDescent="0.25">
      <c r="A311" s="14"/>
      <c r="B311" s="25"/>
      <c r="C311" s="25"/>
      <c r="D311" s="15"/>
      <c r="E311" s="15"/>
      <c r="F311" s="26">
        <f>IFERROR(VLOOKUP(L311,CARTON_LOOKUP!$A:$E,3,0),"")</f>
      </c>
      <c r="G311" s="26">
        <f>IFERROR(VLOOKUP(L311,CARTON_LOOKUP!$A:$E,4,0),"")</f>
      </c>
      <c r="H311" s="26">
        <f>IFERROR(VLOOKUP(L311,CARTON_LOOKUP!$A:$E,5,0),"")</f>
      </c>
      <c r="I311" s="27">
        <f>IFERROR(VLOOKUP(L311,CARTON_LOOKUP!$A:$E,2,0),"")</f>
      </c>
      <c r="J311" s="15" t="s">
        <v>54</v>
      </c>
      <c r="K311" s="28">
        <v>0.21</v>
      </c>
      <c r="L311" s="15" t="s">
        <v>34</v>
      </c>
      <c r="M311" s="15" t="s">
        <v>101</v>
      </c>
      <c r="N311" s="15" t="s">
        <v>102</v>
      </c>
      <c r="O311" s="15" t="s">
        <v>103</v>
      </c>
      <c r="P311" s="15" t="s">
        <v>104</v>
      </c>
      <c r="Q311" s="15"/>
    </row>
    <row r="312" spans="1:17" x14ac:dyDescent="0.25">
      <c r="A312" s="14"/>
      <c r="B312" s="25"/>
      <c r="C312" s="25"/>
      <c r="D312" s="15"/>
      <c r="E312" s="15"/>
      <c r="F312" s="26">
        <f>IFERROR(VLOOKUP(L312,CARTON_LOOKUP!$A:$E,3,0),"")</f>
      </c>
      <c r="G312" s="26">
        <f>IFERROR(VLOOKUP(L312,CARTON_LOOKUP!$A:$E,4,0),"")</f>
      </c>
      <c r="H312" s="26">
        <f>IFERROR(VLOOKUP(L312,CARTON_LOOKUP!$A:$E,5,0),"")</f>
      </c>
      <c r="I312" s="27">
        <f>IFERROR(VLOOKUP(L312,CARTON_LOOKUP!$A:$E,2,0),"")</f>
      </c>
      <c r="J312" s="15" t="s">
        <v>54</v>
      </c>
      <c r="K312" s="28">
        <v>0.21</v>
      </c>
      <c r="L312" s="15" t="s">
        <v>34</v>
      </c>
      <c r="M312" s="15" t="s">
        <v>101</v>
      </c>
      <c r="N312" s="15" t="s">
        <v>102</v>
      </c>
      <c r="O312" s="15" t="s">
        <v>103</v>
      </c>
      <c r="P312" s="15" t="s">
        <v>104</v>
      </c>
      <c r="Q312" s="15"/>
    </row>
    <row r="313" spans="1:17" x14ac:dyDescent="0.25">
      <c r="A313" s="14"/>
      <c r="B313" s="25"/>
      <c r="C313" s="25"/>
      <c r="D313" s="15"/>
      <c r="E313" s="15"/>
      <c r="F313" s="26">
        <f>IFERROR(VLOOKUP(L313,CARTON_LOOKUP!$A:$E,3,0),"")</f>
      </c>
      <c r="G313" s="26">
        <f>IFERROR(VLOOKUP(L313,CARTON_LOOKUP!$A:$E,4,0),"")</f>
      </c>
      <c r="H313" s="26">
        <f>IFERROR(VLOOKUP(L313,CARTON_LOOKUP!$A:$E,5,0),"")</f>
      </c>
      <c r="I313" s="27">
        <f>IFERROR(VLOOKUP(L313,CARTON_LOOKUP!$A:$E,2,0),"")</f>
      </c>
      <c r="J313" s="15" t="s">
        <v>54</v>
      </c>
      <c r="K313" s="28">
        <v>0.21</v>
      </c>
      <c r="L313" s="15" t="s">
        <v>34</v>
      </c>
      <c r="M313" s="15" t="s">
        <v>101</v>
      </c>
      <c r="N313" s="15" t="s">
        <v>102</v>
      </c>
      <c r="O313" s="15" t="s">
        <v>103</v>
      </c>
      <c r="P313" s="15" t="s">
        <v>104</v>
      </c>
      <c r="Q313" s="15"/>
    </row>
    <row r="314" spans="1:17" x14ac:dyDescent="0.25">
      <c r="A314" s="14"/>
      <c r="B314" s="25"/>
      <c r="C314" s="25"/>
      <c r="D314" s="15"/>
      <c r="E314" s="15"/>
      <c r="F314" s="26">
        <f>IFERROR(VLOOKUP(L314,CARTON_LOOKUP!$A:$E,3,0),"")</f>
      </c>
      <c r="G314" s="26">
        <f>IFERROR(VLOOKUP(L314,CARTON_LOOKUP!$A:$E,4,0),"")</f>
      </c>
      <c r="H314" s="26">
        <f>IFERROR(VLOOKUP(L314,CARTON_LOOKUP!$A:$E,5,0),"")</f>
      </c>
      <c r="I314" s="27">
        <f>IFERROR(VLOOKUP(L314,CARTON_LOOKUP!$A:$E,2,0),"")</f>
      </c>
      <c r="J314" s="15" t="s">
        <v>54</v>
      </c>
      <c r="K314" s="28">
        <v>0.21</v>
      </c>
      <c r="L314" s="15" t="s">
        <v>34</v>
      </c>
      <c r="M314" s="15" t="s">
        <v>101</v>
      </c>
      <c r="N314" s="15" t="s">
        <v>102</v>
      </c>
      <c r="O314" s="15" t="s">
        <v>103</v>
      </c>
      <c r="P314" s="15" t="s">
        <v>104</v>
      </c>
      <c r="Q314" s="15"/>
    </row>
    <row r="315" spans="1:17" x14ac:dyDescent="0.25">
      <c r="A315" s="14"/>
      <c r="B315" s="25"/>
      <c r="C315" s="25"/>
      <c r="D315" s="15"/>
      <c r="E315" s="15"/>
      <c r="F315" s="26">
        <f>IFERROR(VLOOKUP(L315,CARTON_LOOKUP!$A:$E,3,0),"")</f>
      </c>
      <c r="G315" s="26">
        <f>IFERROR(VLOOKUP(L315,CARTON_LOOKUP!$A:$E,4,0),"")</f>
      </c>
      <c r="H315" s="26">
        <f>IFERROR(VLOOKUP(L315,CARTON_LOOKUP!$A:$E,5,0),"")</f>
      </c>
      <c r="I315" s="27">
        <f>IFERROR(VLOOKUP(L315,CARTON_LOOKUP!$A:$E,2,0),"")</f>
      </c>
      <c r="J315" s="15" t="s">
        <v>54</v>
      </c>
      <c r="K315" s="28">
        <v>0.21</v>
      </c>
      <c r="L315" s="15" t="s">
        <v>34</v>
      </c>
      <c r="M315" s="15" t="s">
        <v>101</v>
      </c>
      <c r="N315" s="15" t="s">
        <v>102</v>
      </c>
      <c r="O315" s="15" t="s">
        <v>103</v>
      </c>
      <c r="P315" s="15" t="s">
        <v>104</v>
      </c>
      <c r="Q315" s="15"/>
    </row>
    <row r="316" spans="1:17" x14ac:dyDescent="0.25">
      <c r="A316" s="14"/>
      <c r="B316" s="25"/>
      <c r="C316" s="25"/>
      <c r="D316" s="15"/>
      <c r="E316" s="15"/>
      <c r="F316" s="26">
        <f>IFERROR(VLOOKUP(L316,CARTON_LOOKUP!$A:$E,3,0),"")</f>
      </c>
      <c r="G316" s="26">
        <f>IFERROR(VLOOKUP(L316,CARTON_LOOKUP!$A:$E,4,0),"")</f>
      </c>
      <c r="H316" s="26">
        <f>IFERROR(VLOOKUP(L316,CARTON_LOOKUP!$A:$E,5,0),"")</f>
      </c>
      <c r="I316" s="27">
        <f>IFERROR(VLOOKUP(L316,CARTON_LOOKUP!$A:$E,2,0),"")</f>
      </c>
      <c r="J316" s="15" t="s">
        <v>54</v>
      </c>
      <c r="K316" s="28">
        <v>0.21</v>
      </c>
      <c r="L316" s="15" t="s">
        <v>34</v>
      </c>
      <c r="M316" s="15" t="s">
        <v>101</v>
      </c>
      <c r="N316" s="15" t="s">
        <v>102</v>
      </c>
      <c r="O316" s="15" t="s">
        <v>103</v>
      </c>
      <c r="P316" s="15" t="s">
        <v>104</v>
      </c>
      <c r="Q316" s="15"/>
    </row>
    <row r="317" spans="1:17" x14ac:dyDescent="0.25">
      <c r="A317" s="14"/>
      <c r="B317" s="25"/>
      <c r="C317" s="25"/>
      <c r="D317" s="15"/>
      <c r="E317" s="15"/>
      <c r="F317" s="26">
        <f>IFERROR(VLOOKUP(L317,CARTON_LOOKUP!$A:$E,3,0),"")</f>
      </c>
      <c r="G317" s="26">
        <f>IFERROR(VLOOKUP(L317,CARTON_LOOKUP!$A:$E,4,0),"")</f>
      </c>
      <c r="H317" s="26">
        <f>IFERROR(VLOOKUP(L317,CARTON_LOOKUP!$A:$E,5,0),"")</f>
      </c>
      <c r="I317" s="27">
        <f>IFERROR(VLOOKUP(L317,CARTON_LOOKUP!$A:$E,2,0),"")</f>
      </c>
      <c r="J317" s="15" t="s">
        <v>54</v>
      </c>
      <c r="K317" s="28">
        <v>0.21</v>
      </c>
      <c r="L317" s="15" t="s">
        <v>34</v>
      </c>
      <c r="M317" s="15" t="s">
        <v>101</v>
      </c>
      <c r="N317" s="15" t="s">
        <v>102</v>
      </c>
      <c r="O317" s="15" t="s">
        <v>103</v>
      </c>
      <c r="P317" s="15" t="s">
        <v>104</v>
      </c>
      <c r="Q317" s="15"/>
    </row>
    <row r="318" spans="1:17" x14ac:dyDescent="0.25">
      <c r="A318" s="14"/>
      <c r="B318" s="25"/>
      <c r="C318" s="25"/>
      <c r="D318" s="15"/>
      <c r="E318" s="15"/>
      <c r="F318" s="26">
        <f>IFERROR(VLOOKUP(L318,CARTON_LOOKUP!$A:$E,3,0),"")</f>
      </c>
      <c r="G318" s="26">
        <f>IFERROR(VLOOKUP(L318,CARTON_LOOKUP!$A:$E,4,0),"")</f>
      </c>
      <c r="H318" s="26">
        <f>IFERROR(VLOOKUP(L318,CARTON_LOOKUP!$A:$E,5,0),"")</f>
      </c>
      <c r="I318" s="27">
        <f>IFERROR(VLOOKUP(L318,CARTON_LOOKUP!$A:$E,2,0),"")</f>
      </c>
      <c r="J318" s="15" t="s">
        <v>54</v>
      </c>
      <c r="K318" s="28">
        <v>0.21</v>
      </c>
      <c r="L318" s="15" t="s">
        <v>34</v>
      </c>
      <c r="M318" s="15" t="s">
        <v>101</v>
      </c>
      <c r="N318" s="15" t="s">
        <v>102</v>
      </c>
      <c r="O318" s="15" t="s">
        <v>103</v>
      </c>
      <c r="P318" s="15" t="s">
        <v>104</v>
      </c>
      <c r="Q318" s="15"/>
    </row>
    <row r="319" spans="1:17" x14ac:dyDescent="0.25">
      <c r="A319" s="14"/>
      <c r="B319" s="25"/>
      <c r="C319" s="25"/>
      <c r="D319" s="15"/>
      <c r="E319" s="15"/>
      <c r="F319" s="26">
        <f>IFERROR(VLOOKUP(L319,CARTON_LOOKUP!$A:$E,3,0),"")</f>
      </c>
      <c r="G319" s="26">
        <f>IFERROR(VLOOKUP(L319,CARTON_LOOKUP!$A:$E,4,0),"")</f>
      </c>
      <c r="H319" s="26">
        <f>IFERROR(VLOOKUP(L319,CARTON_LOOKUP!$A:$E,5,0),"")</f>
      </c>
      <c r="I319" s="27">
        <f>IFERROR(VLOOKUP(L319,CARTON_LOOKUP!$A:$E,2,0),"")</f>
      </c>
      <c r="J319" s="15" t="s">
        <v>54</v>
      </c>
      <c r="K319" s="28">
        <v>0.21</v>
      </c>
      <c r="L319" s="15" t="s">
        <v>34</v>
      </c>
      <c r="M319" s="15" t="s">
        <v>101</v>
      </c>
      <c r="N319" s="15" t="s">
        <v>102</v>
      </c>
      <c r="O319" s="15" t="s">
        <v>103</v>
      </c>
      <c r="P319" s="15" t="s">
        <v>104</v>
      </c>
      <c r="Q319" s="15"/>
    </row>
    <row r="320" spans="1:17" x14ac:dyDescent="0.25">
      <c r="A320" s="14"/>
      <c r="B320" s="25"/>
      <c r="C320" s="25"/>
      <c r="D320" s="15"/>
      <c r="E320" s="15"/>
      <c r="F320" s="26">
        <f>IFERROR(VLOOKUP(L320,CARTON_LOOKUP!$A:$E,3,0),"")</f>
      </c>
      <c r="G320" s="26">
        <f>IFERROR(VLOOKUP(L320,CARTON_LOOKUP!$A:$E,4,0),"")</f>
      </c>
      <c r="H320" s="26">
        <f>IFERROR(VLOOKUP(L320,CARTON_LOOKUP!$A:$E,5,0),"")</f>
      </c>
      <c r="I320" s="27">
        <f>IFERROR(VLOOKUP(L320,CARTON_LOOKUP!$A:$E,2,0),"")</f>
      </c>
      <c r="J320" s="15" t="s">
        <v>54</v>
      </c>
      <c r="K320" s="28">
        <v>0.21</v>
      </c>
      <c r="L320" s="15" t="s">
        <v>34</v>
      </c>
      <c r="M320" s="15" t="s">
        <v>101</v>
      </c>
      <c r="N320" s="15" t="s">
        <v>102</v>
      </c>
      <c r="O320" s="15" t="s">
        <v>103</v>
      </c>
      <c r="P320" s="15" t="s">
        <v>104</v>
      </c>
      <c r="Q320" s="15"/>
    </row>
    <row r="321" spans="1:17" x14ac:dyDescent="0.25">
      <c r="A321" s="14"/>
      <c r="B321" s="25"/>
      <c r="C321" s="25"/>
      <c r="D321" s="15"/>
      <c r="E321" s="15"/>
      <c r="F321" s="26">
        <f>IFERROR(VLOOKUP(L321,CARTON_LOOKUP!$A:$E,3,0),"")</f>
      </c>
      <c r="G321" s="26">
        <f>IFERROR(VLOOKUP(L321,CARTON_LOOKUP!$A:$E,4,0),"")</f>
      </c>
      <c r="H321" s="26">
        <f>IFERROR(VLOOKUP(L321,CARTON_LOOKUP!$A:$E,5,0),"")</f>
      </c>
      <c r="I321" s="27">
        <f>IFERROR(VLOOKUP(L321,CARTON_LOOKUP!$A:$E,2,0),"")</f>
      </c>
      <c r="J321" s="15" t="s">
        <v>54</v>
      </c>
      <c r="K321" s="28">
        <v>0.21</v>
      </c>
      <c r="L321" s="15" t="s">
        <v>34</v>
      </c>
      <c r="M321" s="15" t="s">
        <v>101</v>
      </c>
      <c r="N321" s="15" t="s">
        <v>102</v>
      </c>
      <c r="O321" s="15" t="s">
        <v>103</v>
      </c>
      <c r="P321" s="15" t="s">
        <v>104</v>
      </c>
      <c r="Q321" s="15"/>
    </row>
    <row r="322" spans="1:17" x14ac:dyDescent="0.25">
      <c r="A322" s="14"/>
      <c r="B322" s="25"/>
      <c r="C322" s="25"/>
      <c r="D322" s="15"/>
      <c r="E322" s="15"/>
      <c r="F322" s="26">
        <f>IFERROR(VLOOKUP(L322,CARTON_LOOKUP!$A:$E,3,0),"")</f>
      </c>
      <c r="G322" s="26">
        <f>IFERROR(VLOOKUP(L322,CARTON_LOOKUP!$A:$E,4,0),"")</f>
      </c>
      <c r="H322" s="26">
        <f>IFERROR(VLOOKUP(L322,CARTON_LOOKUP!$A:$E,5,0),"")</f>
      </c>
      <c r="I322" s="27">
        <f>IFERROR(VLOOKUP(L322,CARTON_LOOKUP!$A:$E,2,0),"")</f>
      </c>
      <c r="J322" s="15" t="s">
        <v>54</v>
      </c>
      <c r="K322" s="28">
        <v>0.21</v>
      </c>
      <c r="L322" s="15" t="s">
        <v>34</v>
      </c>
      <c r="M322" s="15" t="s">
        <v>101</v>
      </c>
      <c r="N322" s="15" t="s">
        <v>102</v>
      </c>
      <c r="O322" s="15" t="s">
        <v>103</v>
      </c>
      <c r="P322" s="15" t="s">
        <v>104</v>
      </c>
      <c r="Q322" s="15"/>
    </row>
    <row r="323" spans="1:17" x14ac:dyDescent="0.25">
      <c r="A323" s="14"/>
      <c r="B323" s="25"/>
      <c r="C323" s="25"/>
      <c r="D323" s="15"/>
      <c r="E323" s="15"/>
      <c r="F323" s="26">
        <f>IFERROR(VLOOKUP(L323,CARTON_LOOKUP!$A:$E,3,0),"")</f>
      </c>
      <c r="G323" s="26">
        <f>IFERROR(VLOOKUP(L323,CARTON_LOOKUP!$A:$E,4,0),"")</f>
      </c>
      <c r="H323" s="26">
        <f>IFERROR(VLOOKUP(L323,CARTON_LOOKUP!$A:$E,5,0),"")</f>
      </c>
      <c r="I323" s="27">
        <f>IFERROR(VLOOKUP(L323,CARTON_LOOKUP!$A:$E,2,0),"")</f>
      </c>
      <c r="J323" s="15" t="s">
        <v>54</v>
      </c>
      <c r="K323" s="28">
        <v>0.21</v>
      </c>
      <c r="L323" s="15" t="s">
        <v>34</v>
      </c>
      <c r="M323" s="15" t="s">
        <v>101</v>
      </c>
      <c r="N323" s="15" t="s">
        <v>102</v>
      </c>
      <c r="O323" s="15" t="s">
        <v>103</v>
      </c>
      <c r="P323" s="15" t="s">
        <v>104</v>
      </c>
      <c r="Q323" s="15"/>
    </row>
    <row r="324" spans="1:17" x14ac:dyDescent="0.25">
      <c r="A324" s="14"/>
      <c r="B324" s="25"/>
      <c r="C324" s="25"/>
      <c r="D324" s="15"/>
      <c r="E324" s="15"/>
      <c r="F324" s="26">
        <f>IFERROR(VLOOKUP(L324,CARTON_LOOKUP!$A:$E,3,0),"")</f>
      </c>
      <c r="G324" s="26">
        <f>IFERROR(VLOOKUP(L324,CARTON_LOOKUP!$A:$E,4,0),"")</f>
      </c>
      <c r="H324" s="26">
        <f>IFERROR(VLOOKUP(L324,CARTON_LOOKUP!$A:$E,5,0),"")</f>
      </c>
      <c r="I324" s="27">
        <f>IFERROR(VLOOKUP(L324,CARTON_LOOKUP!$A:$E,2,0),"")</f>
      </c>
      <c r="J324" s="15" t="s">
        <v>54</v>
      </c>
      <c r="K324" s="28">
        <v>0.21</v>
      </c>
      <c r="L324" s="15" t="s">
        <v>34</v>
      </c>
      <c r="M324" s="15" t="s">
        <v>101</v>
      </c>
      <c r="N324" s="15" t="s">
        <v>102</v>
      </c>
      <c r="O324" s="15" t="s">
        <v>103</v>
      </c>
      <c r="P324" s="15" t="s">
        <v>104</v>
      </c>
      <c r="Q324" s="15"/>
    </row>
    <row r="325" spans="1:17" x14ac:dyDescent="0.25">
      <c r="A325" s="14"/>
      <c r="B325" s="25"/>
      <c r="C325" s="25"/>
      <c r="D325" s="15"/>
      <c r="E325" s="15"/>
      <c r="F325" s="26">
        <f>IFERROR(VLOOKUP(L325,CARTON_LOOKUP!$A:$E,3,0),"")</f>
      </c>
      <c r="G325" s="26">
        <f>IFERROR(VLOOKUP(L325,CARTON_LOOKUP!$A:$E,4,0),"")</f>
      </c>
      <c r="H325" s="26">
        <f>IFERROR(VLOOKUP(L325,CARTON_LOOKUP!$A:$E,5,0),"")</f>
      </c>
      <c r="I325" s="27">
        <f>IFERROR(VLOOKUP(L325,CARTON_LOOKUP!$A:$E,2,0),"")</f>
      </c>
      <c r="J325" s="15" t="s">
        <v>54</v>
      </c>
      <c r="K325" s="28">
        <v>0.21</v>
      </c>
      <c r="L325" s="15" t="s">
        <v>34</v>
      </c>
      <c r="M325" s="15" t="s">
        <v>101</v>
      </c>
      <c r="N325" s="15" t="s">
        <v>102</v>
      </c>
      <c r="O325" s="15" t="s">
        <v>103</v>
      </c>
      <c r="P325" s="15" t="s">
        <v>104</v>
      </c>
      <c r="Q325" s="15"/>
    </row>
    <row r="326" spans="1:17" x14ac:dyDescent="0.25">
      <c r="A326" s="14"/>
      <c r="B326" s="25"/>
      <c r="C326" s="25"/>
      <c r="D326" s="15"/>
      <c r="E326" s="15"/>
      <c r="F326" s="26">
        <f>IFERROR(VLOOKUP(L326,CARTON_LOOKUP!$A:$E,3,0),"")</f>
      </c>
      <c r="G326" s="26">
        <f>IFERROR(VLOOKUP(L326,CARTON_LOOKUP!$A:$E,4,0),"")</f>
      </c>
      <c r="H326" s="26">
        <f>IFERROR(VLOOKUP(L326,CARTON_LOOKUP!$A:$E,5,0),"")</f>
      </c>
      <c r="I326" s="27">
        <f>IFERROR(VLOOKUP(L326,CARTON_LOOKUP!$A:$E,2,0),"")</f>
      </c>
      <c r="J326" s="15" t="s">
        <v>54</v>
      </c>
      <c r="K326" s="28">
        <v>0.21</v>
      </c>
      <c r="L326" s="15" t="s">
        <v>34</v>
      </c>
      <c r="M326" s="15" t="s">
        <v>101</v>
      </c>
      <c r="N326" s="15" t="s">
        <v>102</v>
      </c>
      <c r="O326" s="15" t="s">
        <v>103</v>
      </c>
      <c r="P326" s="15" t="s">
        <v>104</v>
      </c>
      <c r="Q326" s="15"/>
    </row>
    <row r="327" spans="1:17" x14ac:dyDescent="0.25">
      <c r="A327" s="14"/>
      <c r="B327" s="25"/>
      <c r="C327" s="25"/>
      <c r="D327" s="15"/>
      <c r="E327" s="15"/>
      <c r="F327" s="26">
        <f>IFERROR(VLOOKUP(L327,CARTON_LOOKUP!$A:$E,3,0),"")</f>
      </c>
      <c r="G327" s="26">
        <f>IFERROR(VLOOKUP(L327,CARTON_LOOKUP!$A:$E,4,0),"")</f>
      </c>
      <c r="H327" s="26">
        <f>IFERROR(VLOOKUP(L327,CARTON_LOOKUP!$A:$E,5,0),"")</f>
      </c>
      <c r="I327" s="27">
        <f>IFERROR(VLOOKUP(L327,CARTON_LOOKUP!$A:$E,2,0),"")</f>
      </c>
      <c r="J327" s="15" t="s">
        <v>54</v>
      </c>
      <c r="K327" s="28">
        <v>0.21</v>
      </c>
      <c r="L327" s="15" t="s">
        <v>34</v>
      </c>
      <c r="M327" s="15" t="s">
        <v>101</v>
      </c>
      <c r="N327" s="15" t="s">
        <v>102</v>
      </c>
      <c r="O327" s="15" t="s">
        <v>103</v>
      </c>
      <c r="P327" s="15" t="s">
        <v>104</v>
      </c>
      <c r="Q327" s="15"/>
    </row>
    <row r="328" spans="1:17" x14ac:dyDescent="0.25">
      <c r="A328" s="14"/>
      <c r="B328" s="25"/>
      <c r="C328" s="25"/>
      <c r="D328" s="15"/>
      <c r="E328" s="15"/>
      <c r="F328" s="26">
        <f>IFERROR(VLOOKUP(L328,CARTON_LOOKUP!$A:$E,3,0),"")</f>
      </c>
      <c r="G328" s="26">
        <f>IFERROR(VLOOKUP(L328,CARTON_LOOKUP!$A:$E,4,0),"")</f>
      </c>
      <c r="H328" s="26">
        <f>IFERROR(VLOOKUP(L328,CARTON_LOOKUP!$A:$E,5,0),"")</f>
      </c>
      <c r="I328" s="27">
        <f>IFERROR(VLOOKUP(L328,CARTON_LOOKUP!$A:$E,2,0),"")</f>
      </c>
      <c r="J328" s="15" t="s">
        <v>54</v>
      </c>
      <c r="K328" s="28">
        <v>0.21</v>
      </c>
      <c r="L328" s="15" t="s">
        <v>34</v>
      </c>
      <c r="M328" s="15" t="s">
        <v>101</v>
      </c>
      <c r="N328" s="15" t="s">
        <v>102</v>
      </c>
      <c r="O328" s="15" t="s">
        <v>103</v>
      </c>
      <c r="P328" s="15" t="s">
        <v>104</v>
      </c>
      <c r="Q328" s="15"/>
    </row>
    <row r="329" spans="1:17" x14ac:dyDescent="0.25">
      <c r="A329" s="14"/>
      <c r="B329" s="25"/>
      <c r="C329" s="25"/>
      <c r="D329" s="15"/>
      <c r="E329" s="15"/>
      <c r="F329" s="26">
        <f>IFERROR(VLOOKUP(L329,CARTON_LOOKUP!$A:$E,3,0),"")</f>
      </c>
      <c r="G329" s="26">
        <f>IFERROR(VLOOKUP(L329,CARTON_LOOKUP!$A:$E,4,0),"")</f>
      </c>
      <c r="H329" s="26">
        <f>IFERROR(VLOOKUP(L329,CARTON_LOOKUP!$A:$E,5,0),"")</f>
      </c>
      <c r="I329" s="27">
        <f>IFERROR(VLOOKUP(L329,CARTON_LOOKUP!$A:$E,2,0),"")</f>
      </c>
      <c r="J329" s="15" t="s">
        <v>54</v>
      </c>
      <c r="K329" s="28">
        <v>0.21</v>
      </c>
      <c r="L329" s="15" t="s">
        <v>34</v>
      </c>
      <c r="M329" s="15" t="s">
        <v>101</v>
      </c>
      <c r="N329" s="15" t="s">
        <v>102</v>
      </c>
      <c r="O329" s="15" t="s">
        <v>103</v>
      </c>
      <c r="P329" s="15" t="s">
        <v>104</v>
      </c>
      <c r="Q329" s="15"/>
    </row>
    <row r="330" spans="1:17" x14ac:dyDescent="0.25">
      <c r="A330" s="14"/>
      <c r="B330" s="25"/>
      <c r="C330" s="25"/>
      <c r="D330" s="15"/>
      <c r="E330" s="15"/>
      <c r="F330" s="26">
        <f>IFERROR(VLOOKUP(L330,CARTON_LOOKUP!$A:$E,3,0),"")</f>
      </c>
      <c r="G330" s="26">
        <f>IFERROR(VLOOKUP(L330,CARTON_LOOKUP!$A:$E,4,0),"")</f>
      </c>
      <c r="H330" s="26">
        <f>IFERROR(VLOOKUP(L330,CARTON_LOOKUP!$A:$E,5,0),"")</f>
      </c>
      <c r="I330" s="27">
        <f>IFERROR(VLOOKUP(L330,CARTON_LOOKUP!$A:$E,2,0),"")</f>
      </c>
      <c r="J330" s="15" t="s">
        <v>54</v>
      </c>
      <c r="K330" s="28">
        <v>0.21</v>
      </c>
      <c r="L330" s="15" t="s">
        <v>34</v>
      </c>
      <c r="M330" s="15" t="s">
        <v>101</v>
      </c>
      <c r="N330" s="15" t="s">
        <v>102</v>
      </c>
      <c r="O330" s="15" t="s">
        <v>103</v>
      </c>
      <c r="P330" s="15" t="s">
        <v>104</v>
      </c>
      <c r="Q330" s="15"/>
    </row>
    <row r="331" spans="1:17" x14ac:dyDescent="0.25">
      <c r="A331" s="14"/>
      <c r="B331" s="25"/>
      <c r="C331" s="25"/>
      <c r="D331" s="15"/>
      <c r="E331" s="15"/>
      <c r="F331" s="26">
        <f>IFERROR(VLOOKUP(L331,CARTON_LOOKUP!$A:$E,3,0),"")</f>
      </c>
      <c r="G331" s="26">
        <f>IFERROR(VLOOKUP(L331,CARTON_LOOKUP!$A:$E,4,0),"")</f>
      </c>
      <c r="H331" s="26">
        <f>IFERROR(VLOOKUP(L331,CARTON_LOOKUP!$A:$E,5,0),"")</f>
      </c>
      <c r="I331" s="27">
        <f>IFERROR(VLOOKUP(L331,CARTON_LOOKUP!$A:$E,2,0),"")</f>
      </c>
      <c r="J331" s="15" t="s">
        <v>54</v>
      </c>
      <c r="K331" s="28">
        <v>0.21</v>
      </c>
      <c r="L331" s="15" t="s">
        <v>34</v>
      </c>
      <c r="M331" s="15" t="s">
        <v>101</v>
      </c>
      <c r="N331" s="15" t="s">
        <v>102</v>
      </c>
      <c r="O331" s="15" t="s">
        <v>103</v>
      </c>
      <c r="P331" s="15" t="s">
        <v>104</v>
      </c>
      <c r="Q331" s="15"/>
    </row>
    <row r="332" spans="1:17" x14ac:dyDescent="0.25">
      <c r="A332" s="14"/>
      <c r="B332" s="25"/>
      <c r="C332" s="25"/>
      <c r="D332" s="15"/>
      <c r="E332" s="15"/>
      <c r="F332" s="26">
        <f>IFERROR(VLOOKUP(L332,CARTON_LOOKUP!$A:$E,3,0),"")</f>
      </c>
      <c r="G332" s="26">
        <f>IFERROR(VLOOKUP(L332,CARTON_LOOKUP!$A:$E,4,0),"")</f>
      </c>
      <c r="H332" s="26">
        <f>IFERROR(VLOOKUP(L332,CARTON_LOOKUP!$A:$E,5,0),"")</f>
      </c>
      <c r="I332" s="27">
        <f>IFERROR(VLOOKUP(L332,CARTON_LOOKUP!$A:$E,2,0),"")</f>
      </c>
      <c r="J332" s="15" t="s">
        <v>54</v>
      </c>
      <c r="K332" s="28">
        <v>0.21</v>
      </c>
      <c r="L332" s="15" t="s">
        <v>34</v>
      </c>
      <c r="M332" s="15" t="s">
        <v>101</v>
      </c>
      <c r="N332" s="15" t="s">
        <v>102</v>
      </c>
      <c r="O332" s="15" t="s">
        <v>103</v>
      </c>
      <c r="P332" s="15" t="s">
        <v>104</v>
      </c>
      <c r="Q332" s="15"/>
    </row>
    <row r="333" spans="1:17" x14ac:dyDescent="0.25">
      <c r="A333" s="14"/>
      <c r="B333" s="25"/>
      <c r="C333" s="25"/>
      <c r="D333" s="15"/>
      <c r="E333" s="15"/>
      <c r="F333" s="26">
        <f>IFERROR(VLOOKUP(L333,CARTON_LOOKUP!$A:$E,3,0),"")</f>
      </c>
      <c r="G333" s="26">
        <f>IFERROR(VLOOKUP(L333,CARTON_LOOKUP!$A:$E,4,0),"")</f>
      </c>
      <c r="H333" s="26">
        <f>IFERROR(VLOOKUP(L333,CARTON_LOOKUP!$A:$E,5,0),"")</f>
      </c>
      <c r="I333" s="27">
        <f>IFERROR(VLOOKUP(L333,CARTON_LOOKUP!$A:$E,2,0),"")</f>
      </c>
      <c r="J333" s="15" t="s">
        <v>54</v>
      </c>
      <c r="K333" s="28">
        <v>0.21</v>
      </c>
      <c r="L333" s="15" t="s">
        <v>34</v>
      </c>
      <c r="M333" s="15" t="s">
        <v>101</v>
      </c>
      <c r="N333" s="15" t="s">
        <v>102</v>
      </c>
      <c r="O333" s="15" t="s">
        <v>103</v>
      </c>
      <c r="P333" s="15" t="s">
        <v>104</v>
      </c>
      <c r="Q333" s="15"/>
    </row>
    <row r="334" spans="1:17" x14ac:dyDescent="0.25">
      <c r="A334" s="14"/>
      <c r="B334" s="25"/>
      <c r="C334" s="25"/>
      <c r="D334" s="15"/>
      <c r="E334" s="15"/>
      <c r="F334" s="26">
        <f>IFERROR(VLOOKUP(L334,CARTON_LOOKUP!$A:$E,3,0),"")</f>
      </c>
      <c r="G334" s="26">
        <f>IFERROR(VLOOKUP(L334,CARTON_LOOKUP!$A:$E,4,0),"")</f>
      </c>
      <c r="H334" s="26">
        <f>IFERROR(VLOOKUP(L334,CARTON_LOOKUP!$A:$E,5,0),"")</f>
      </c>
      <c r="I334" s="27">
        <f>IFERROR(VLOOKUP(L334,CARTON_LOOKUP!$A:$E,2,0),"")</f>
      </c>
      <c r="J334" s="15" t="s">
        <v>54</v>
      </c>
      <c r="K334" s="28">
        <v>0.21</v>
      </c>
      <c r="L334" s="15" t="s">
        <v>34</v>
      </c>
      <c r="M334" s="15" t="s">
        <v>101</v>
      </c>
      <c r="N334" s="15" t="s">
        <v>102</v>
      </c>
      <c r="O334" s="15" t="s">
        <v>103</v>
      </c>
      <c r="P334" s="15" t="s">
        <v>104</v>
      </c>
      <c r="Q334" s="15"/>
    </row>
    <row r="335" spans="1:17" x14ac:dyDescent="0.25">
      <c r="A335" s="14"/>
      <c r="B335" s="25"/>
      <c r="C335" s="25"/>
      <c r="D335" s="15"/>
      <c r="E335" s="15"/>
      <c r="F335" s="26">
        <f>IFERROR(VLOOKUP(L335,CARTON_LOOKUP!$A:$E,3,0),"")</f>
      </c>
      <c r="G335" s="26">
        <f>IFERROR(VLOOKUP(L335,CARTON_LOOKUP!$A:$E,4,0),"")</f>
      </c>
      <c r="H335" s="26">
        <f>IFERROR(VLOOKUP(L335,CARTON_LOOKUP!$A:$E,5,0),"")</f>
      </c>
      <c r="I335" s="27">
        <f>IFERROR(VLOOKUP(L335,CARTON_LOOKUP!$A:$E,2,0),"")</f>
      </c>
      <c r="J335" s="15" t="s">
        <v>54</v>
      </c>
      <c r="K335" s="28">
        <v>0.21</v>
      </c>
      <c r="L335" s="15" t="s">
        <v>34</v>
      </c>
      <c r="M335" s="15" t="s">
        <v>101</v>
      </c>
      <c r="N335" s="15" t="s">
        <v>102</v>
      </c>
      <c r="O335" s="15" t="s">
        <v>103</v>
      </c>
      <c r="P335" s="15" t="s">
        <v>104</v>
      </c>
      <c r="Q335" s="15"/>
    </row>
    <row r="336" spans="1:17" x14ac:dyDescent="0.25">
      <c r="A336" s="14"/>
      <c r="B336" s="25"/>
      <c r="C336" s="25"/>
      <c r="D336" s="15"/>
      <c r="E336" s="15"/>
      <c r="F336" s="26">
        <f>IFERROR(VLOOKUP(L336,CARTON_LOOKUP!$A:$E,3,0),"")</f>
      </c>
      <c r="G336" s="26">
        <f>IFERROR(VLOOKUP(L336,CARTON_LOOKUP!$A:$E,4,0),"")</f>
      </c>
      <c r="H336" s="26">
        <f>IFERROR(VLOOKUP(L336,CARTON_LOOKUP!$A:$E,5,0),"")</f>
      </c>
      <c r="I336" s="27">
        <f>IFERROR(VLOOKUP(L336,CARTON_LOOKUP!$A:$E,2,0),"")</f>
      </c>
      <c r="J336" s="15" t="s">
        <v>54</v>
      </c>
      <c r="K336" s="28">
        <v>0.21</v>
      </c>
      <c r="L336" s="15" t="s">
        <v>34</v>
      </c>
      <c r="M336" s="15" t="s">
        <v>101</v>
      </c>
      <c r="N336" s="15" t="s">
        <v>102</v>
      </c>
      <c r="O336" s="15" t="s">
        <v>103</v>
      </c>
      <c r="P336" s="15" t="s">
        <v>104</v>
      </c>
      <c r="Q336" s="15"/>
    </row>
    <row r="337" spans="1:17" x14ac:dyDescent="0.25">
      <c r="A337" s="14"/>
      <c r="B337" s="25"/>
      <c r="C337" s="25"/>
      <c r="D337" s="15"/>
      <c r="E337" s="15"/>
      <c r="F337" s="26">
        <f>IFERROR(VLOOKUP(L337,CARTON_LOOKUP!$A:$E,3,0),"")</f>
      </c>
      <c r="G337" s="26">
        <f>IFERROR(VLOOKUP(L337,CARTON_LOOKUP!$A:$E,4,0),"")</f>
      </c>
      <c r="H337" s="26">
        <f>IFERROR(VLOOKUP(L337,CARTON_LOOKUP!$A:$E,5,0),"")</f>
      </c>
      <c r="I337" s="27">
        <f>IFERROR(VLOOKUP(L337,CARTON_LOOKUP!$A:$E,2,0),"")</f>
      </c>
      <c r="J337" s="15" t="s">
        <v>54</v>
      </c>
      <c r="K337" s="28">
        <v>0.21</v>
      </c>
      <c r="L337" s="15" t="s">
        <v>34</v>
      </c>
      <c r="M337" s="15" t="s">
        <v>101</v>
      </c>
      <c r="N337" s="15" t="s">
        <v>102</v>
      </c>
      <c r="O337" s="15" t="s">
        <v>103</v>
      </c>
      <c r="P337" s="15" t="s">
        <v>104</v>
      </c>
      <c r="Q337" s="15"/>
    </row>
    <row r="338" spans="1:17" x14ac:dyDescent="0.25">
      <c r="A338" s="14"/>
      <c r="B338" s="25"/>
      <c r="C338" s="25"/>
      <c r="D338" s="15"/>
      <c r="E338" s="15"/>
      <c r="F338" s="26">
        <f>IFERROR(VLOOKUP(L338,CARTON_LOOKUP!$A:$E,3,0),"")</f>
      </c>
      <c r="G338" s="26">
        <f>IFERROR(VLOOKUP(L338,CARTON_LOOKUP!$A:$E,4,0),"")</f>
      </c>
      <c r="H338" s="26">
        <f>IFERROR(VLOOKUP(L338,CARTON_LOOKUP!$A:$E,5,0),"")</f>
      </c>
      <c r="I338" s="27">
        <f>IFERROR(VLOOKUP(L338,CARTON_LOOKUP!$A:$E,2,0),"")</f>
      </c>
      <c r="J338" s="15" t="s">
        <v>54</v>
      </c>
      <c r="K338" s="28">
        <v>0.21</v>
      </c>
      <c r="L338" s="15" t="s">
        <v>34</v>
      </c>
      <c r="M338" s="15" t="s">
        <v>101</v>
      </c>
      <c r="N338" s="15" t="s">
        <v>102</v>
      </c>
      <c r="O338" s="15" t="s">
        <v>103</v>
      </c>
      <c r="P338" s="15" t="s">
        <v>104</v>
      </c>
      <c r="Q338" s="15"/>
    </row>
    <row r="339" spans="1:17" x14ac:dyDescent="0.25">
      <c r="A339" s="14"/>
      <c r="B339" s="25"/>
      <c r="C339" s="25"/>
      <c r="D339" s="15"/>
      <c r="E339" s="15"/>
      <c r="F339" s="26">
        <f>IFERROR(VLOOKUP(L339,CARTON_LOOKUP!$A:$E,3,0),"")</f>
      </c>
      <c r="G339" s="26">
        <f>IFERROR(VLOOKUP(L339,CARTON_LOOKUP!$A:$E,4,0),"")</f>
      </c>
      <c r="H339" s="26">
        <f>IFERROR(VLOOKUP(L339,CARTON_LOOKUP!$A:$E,5,0),"")</f>
      </c>
      <c r="I339" s="27">
        <f>IFERROR(VLOOKUP(L339,CARTON_LOOKUP!$A:$E,2,0),"")</f>
      </c>
      <c r="J339" s="15" t="s">
        <v>54</v>
      </c>
      <c r="K339" s="28">
        <v>0.21</v>
      </c>
      <c r="L339" s="15" t="s">
        <v>34</v>
      </c>
      <c r="M339" s="15" t="s">
        <v>101</v>
      </c>
      <c r="N339" s="15" t="s">
        <v>102</v>
      </c>
      <c r="O339" s="15" t="s">
        <v>103</v>
      </c>
      <c r="P339" s="15" t="s">
        <v>104</v>
      </c>
      <c r="Q339" s="15"/>
    </row>
    <row r="340" spans="1:17" x14ac:dyDescent="0.25">
      <c r="A340" s="14"/>
      <c r="B340" s="25"/>
      <c r="C340" s="25"/>
      <c r="D340" s="15"/>
      <c r="E340" s="15"/>
      <c r="F340" s="26">
        <f>IFERROR(VLOOKUP(L340,CARTON_LOOKUP!$A:$E,3,0),"")</f>
      </c>
      <c r="G340" s="26">
        <f>IFERROR(VLOOKUP(L340,CARTON_LOOKUP!$A:$E,4,0),"")</f>
      </c>
      <c r="H340" s="26">
        <f>IFERROR(VLOOKUP(L340,CARTON_LOOKUP!$A:$E,5,0),"")</f>
      </c>
      <c r="I340" s="27">
        <f>IFERROR(VLOOKUP(L340,CARTON_LOOKUP!$A:$E,2,0),"")</f>
      </c>
      <c r="J340" s="15" t="s">
        <v>54</v>
      </c>
      <c r="K340" s="28">
        <v>0.21</v>
      </c>
      <c r="L340" s="15" t="s">
        <v>34</v>
      </c>
      <c r="M340" s="15" t="s">
        <v>101</v>
      </c>
      <c r="N340" s="15" t="s">
        <v>102</v>
      </c>
      <c r="O340" s="15" t="s">
        <v>103</v>
      </c>
      <c r="P340" s="15" t="s">
        <v>104</v>
      </c>
      <c r="Q340" s="15"/>
    </row>
    <row r="341" spans="1:17" x14ac:dyDescent="0.25">
      <c r="A341" s="14"/>
      <c r="B341" s="25"/>
      <c r="C341" s="25"/>
      <c r="D341" s="15"/>
      <c r="E341" s="15"/>
      <c r="F341" s="26">
        <f>IFERROR(VLOOKUP(L341,CARTON_LOOKUP!$A:$E,3,0),"")</f>
      </c>
      <c r="G341" s="26">
        <f>IFERROR(VLOOKUP(L341,CARTON_LOOKUP!$A:$E,4,0),"")</f>
      </c>
      <c r="H341" s="26">
        <f>IFERROR(VLOOKUP(L341,CARTON_LOOKUP!$A:$E,5,0),"")</f>
      </c>
      <c r="I341" s="27">
        <f>IFERROR(VLOOKUP(L341,CARTON_LOOKUP!$A:$E,2,0),"")</f>
      </c>
      <c r="J341" s="15" t="s">
        <v>54</v>
      </c>
      <c r="K341" s="28">
        <v>0.21</v>
      </c>
      <c r="L341" s="15" t="s">
        <v>34</v>
      </c>
      <c r="M341" s="15" t="s">
        <v>101</v>
      </c>
      <c r="N341" s="15" t="s">
        <v>102</v>
      </c>
      <c r="O341" s="15" t="s">
        <v>103</v>
      </c>
      <c r="P341" s="15" t="s">
        <v>104</v>
      </c>
      <c r="Q341" s="15"/>
    </row>
    <row r="342" spans="1:17" x14ac:dyDescent="0.25">
      <c r="A342" s="14"/>
      <c r="B342" s="25"/>
      <c r="C342" s="25"/>
      <c r="D342" s="15"/>
      <c r="E342" s="15"/>
      <c r="F342" s="26">
        <f>IFERROR(VLOOKUP(L342,CARTON_LOOKUP!$A:$E,3,0),"")</f>
      </c>
      <c r="G342" s="26">
        <f>IFERROR(VLOOKUP(L342,CARTON_LOOKUP!$A:$E,4,0),"")</f>
      </c>
      <c r="H342" s="26">
        <f>IFERROR(VLOOKUP(L342,CARTON_LOOKUP!$A:$E,5,0),"")</f>
      </c>
      <c r="I342" s="27">
        <f>IFERROR(VLOOKUP(L342,CARTON_LOOKUP!$A:$E,2,0),"")</f>
      </c>
      <c r="J342" s="15" t="s">
        <v>54</v>
      </c>
      <c r="K342" s="28">
        <v>0.21</v>
      </c>
      <c r="L342" s="15" t="s">
        <v>34</v>
      </c>
      <c r="M342" s="15" t="s">
        <v>101</v>
      </c>
      <c r="N342" s="15" t="s">
        <v>102</v>
      </c>
      <c r="O342" s="15" t="s">
        <v>103</v>
      </c>
      <c r="P342" s="15" t="s">
        <v>104</v>
      </c>
      <c r="Q342" s="15"/>
    </row>
    <row r="343" spans="1:17" x14ac:dyDescent="0.25">
      <c r="A343" s="14"/>
      <c r="B343" s="25"/>
      <c r="C343" s="25"/>
      <c r="D343" s="15"/>
      <c r="E343" s="15"/>
      <c r="F343" s="26">
        <f>IFERROR(VLOOKUP(L343,CARTON_LOOKUP!$A:$E,3,0),"")</f>
      </c>
      <c r="G343" s="26">
        <f>IFERROR(VLOOKUP(L343,CARTON_LOOKUP!$A:$E,4,0),"")</f>
      </c>
      <c r="H343" s="26">
        <f>IFERROR(VLOOKUP(L343,CARTON_LOOKUP!$A:$E,5,0),"")</f>
      </c>
      <c r="I343" s="27">
        <f>IFERROR(VLOOKUP(L343,CARTON_LOOKUP!$A:$E,2,0),"")</f>
      </c>
      <c r="J343" s="15" t="s">
        <v>54</v>
      </c>
      <c r="K343" s="28">
        <v>0.21</v>
      </c>
      <c r="L343" s="15" t="s">
        <v>34</v>
      </c>
      <c r="M343" s="15" t="s">
        <v>101</v>
      </c>
      <c r="N343" s="15" t="s">
        <v>102</v>
      </c>
      <c r="O343" s="15" t="s">
        <v>103</v>
      </c>
      <c r="P343" s="15" t="s">
        <v>104</v>
      </c>
      <c r="Q343" s="15"/>
    </row>
    <row r="344" spans="1:17" x14ac:dyDescent="0.25">
      <c r="A344" s="14"/>
      <c r="B344" s="25"/>
      <c r="C344" s="25"/>
      <c r="D344" s="15"/>
      <c r="E344" s="15"/>
      <c r="F344" s="26">
        <f>IFERROR(VLOOKUP(L344,CARTON_LOOKUP!$A:$E,3,0),"")</f>
      </c>
      <c r="G344" s="26">
        <f>IFERROR(VLOOKUP(L344,CARTON_LOOKUP!$A:$E,4,0),"")</f>
      </c>
      <c r="H344" s="26">
        <f>IFERROR(VLOOKUP(L344,CARTON_LOOKUP!$A:$E,5,0),"")</f>
      </c>
      <c r="I344" s="27">
        <f>IFERROR(VLOOKUP(L344,CARTON_LOOKUP!$A:$E,2,0),"")</f>
      </c>
      <c r="J344" s="15" t="s">
        <v>54</v>
      </c>
      <c r="K344" s="28">
        <v>0.21</v>
      </c>
      <c r="L344" s="15" t="s">
        <v>34</v>
      </c>
      <c r="M344" s="15" t="s">
        <v>101</v>
      </c>
      <c r="N344" s="15" t="s">
        <v>102</v>
      </c>
      <c r="O344" s="15" t="s">
        <v>103</v>
      </c>
      <c r="P344" s="15" t="s">
        <v>104</v>
      </c>
      <c r="Q344" s="15"/>
    </row>
    <row r="345" spans="1:17" x14ac:dyDescent="0.25">
      <c r="A345" s="14"/>
      <c r="B345" s="25"/>
      <c r="C345" s="25"/>
      <c r="D345" s="15"/>
      <c r="E345" s="15"/>
      <c r="F345" s="26">
        <f>IFERROR(VLOOKUP(L345,CARTON_LOOKUP!$A:$E,3,0),"")</f>
      </c>
      <c r="G345" s="26">
        <f>IFERROR(VLOOKUP(L345,CARTON_LOOKUP!$A:$E,4,0),"")</f>
      </c>
      <c r="H345" s="26">
        <f>IFERROR(VLOOKUP(L345,CARTON_LOOKUP!$A:$E,5,0),"")</f>
      </c>
      <c r="I345" s="27">
        <f>IFERROR(VLOOKUP(L345,CARTON_LOOKUP!$A:$E,2,0),"")</f>
      </c>
      <c r="J345" s="15" t="s">
        <v>54</v>
      </c>
      <c r="K345" s="28">
        <v>0.21</v>
      </c>
      <c r="L345" s="15" t="s">
        <v>34</v>
      </c>
      <c r="M345" s="15" t="s">
        <v>101</v>
      </c>
      <c r="N345" s="15" t="s">
        <v>102</v>
      </c>
      <c r="O345" s="15" t="s">
        <v>103</v>
      </c>
      <c r="P345" s="15" t="s">
        <v>104</v>
      </c>
      <c r="Q345" s="15"/>
    </row>
    <row r="346" spans="1:17" x14ac:dyDescent="0.25">
      <c r="A346" s="14"/>
      <c r="B346" s="25"/>
      <c r="C346" s="25"/>
      <c r="D346" s="15"/>
      <c r="E346" s="15"/>
      <c r="F346" s="26">
        <f>IFERROR(VLOOKUP(L346,CARTON_LOOKUP!$A:$E,3,0),"")</f>
      </c>
      <c r="G346" s="26">
        <f>IFERROR(VLOOKUP(L346,CARTON_LOOKUP!$A:$E,4,0),"")</f>
      </c>
      <c r="H346" s="26">
        <f>IFERROR(VLOOKUP(L346,CARTON_LOOKUP!$A:$E,5,0),"")</f>
      </c>
      <c r="I346" s="27">
        <f>IFERROR(VLOOKUP(L346,CARTON_LOOKUP!$A:$E,2,0),"")</f>
      </c>
      <c r="J346" s="15" t="s">
        <v>54</v>
      </c>
      <c r="K346" s="28">
        <v>0.21</v>
      </c>
      <c r="L346" s="15" t="s">
        <v>34</v>
      </c>
      <c r="M346" s="15" t="s">
        <v>101</v>
      </c>
      <c r="N346" s="15" t="s">
        <v>102</v>
      </c>
      <c r="O346" s="15" t="s">
        <v>103</v>
      </c>
      <c r="P346" s="15" t="s">
        <v>104</v>
      </c>
      <c r="Q346" s="15"/>
    </row>
    <row r="347" spans="1:17" x14ac:dyDescent="0.25">
      <c r="A347" s="14"/>
      <c r="B347" s="25"/>
      <c r="C347" s="25"/>
      <c r="D347" s="15"/>
      <c r="E347" s="15"/>
      <c r="F347" s="26">
        <f>IFERROR(VLOOKUP(L347,CARTON_LOOKUP!$A:$E,3,0),"")</f>
      </c>
      <c r="G347" s="26">
        <f>IFERROR(VLOOKUP(L347,CARTON_LOOKUP!$A:$E,4,0),"")</f>
      </c>
      <c r="H347" s="26">
        <f>IFERROR(VLOOKUP(L347,CARTON_LOOKUP!$A:$E,5,0),"")</f>
      </c>
      <c r="I347" s="27">
        <f>IFERROR(VLOOKUP(L347,CARTON_LOOKUP!$A:$E,2,0),"")</f>
      </c>
      <c r="J347" s="15" t="s">
        <v>54</v>
      </c>
      <c r="K347" s="28">
        <v>0.21</v>
      </c>
      <c r="L347" s="15" t="s">
        <v>34</v>
      </c>
      <c r="M347" s="15" t="s">
        <v>101</v>
      </c>
      <c r="N347" s="15" t="s">
        <v>102</v>
      </c>
      <c r="O347" s="15" t="s">
        <v>103</v>
      </c>
      <c r="P347" s="15" t="s">
        <v>104</v>
      </c>
      <c r="Q347" s="15"/>
    </row>
    <row r="348" spans="1:17" x14ac:dyDescent="0.25">
      <c r="A348" s="14"/>
      <c r="B348" s="25"/>
      <c r="C348" s="25"/>
      <c r="D348" s="15"/>
      <c r="E348" s="15"/>
      <c r="F348" s="26">
        <f>IFERROR(VLOOKUP(L348,CARTON_LOOKUP!$A:$E,3,0),"")</f>
      </c>
      <c r="G348" s="26">
        <f>IFERROR(VLOOKUP(L348,CARTON_LOOKUP!$A:$E,4,0),"")</f>
      </c>
      <c r="H348" s="26">
        <f>IFERROR(VLOOKUP(L348,CARTON_LOOKUP!$A:$E,5,0),"")</f>
      </c>
      <c r="I348" s="27">
        <f>IFERROR(VLOOKUP(L348,CARTON_LOOKUP!$A:$E,2,0),"")</f>
      </c>
      <c r="J348" s="15" t="s">
        <v>54</v>
      </c>
      <c r="K348" s="28">
        <v>0.21</v>
      </c>
      <c r="L348" s="15" t="s">
        <v>34</v>
      </c>
      <c r="M348" s="15" t="s">
        <v>101</v>
      </c>
      <c r="N348" s="15" t="s">
        <v>102</v>
      </c>
      <c r="O348" s="15" t="s">
        <v>103</v>
      </c>
      <c r="P348" s="15" t="s">
        <v>104</v>
      </c>
      <c r="Q348" s="15"/>
    </row>
    <row r="349" spans="1:17" x14ac:dyDescent="0.25">
      <c r="A349" s="14"/>
      <c r="B349" s="25"/>
      <c r="C349" s="25"/>
      <c r="D349" s="15"/>
      <c r="E349" s="15"/>
      <c r="F349" s="26">
        <f>IFERROR(VLOOKUP(L349,CARTON_LOOKUP!$A:$E,3,0),"")</f>
      </c>
      <c r="G349" s="26">
        <f>IFERROR(VLOOKUP(L349,CARTON_LOOKUP!$A:$E,4,0),"")</f>
      </c>
      <c r="H349" s="26">
        <f>IFERROR(VLOOKUP(L349,CARTON_LOOKUP!$A:$E,5,0),"")</f>
      </c>
      <c r="I349" s="27">
        <f>IFERROR(VLOOKUP(L349,CARTON_LOOKUP!$A:$E,2,0),"")</f>
      </c>
      <c r="J349" s="15" t="s">
        <v>54</v>
      </c>
      <c r="K349" s="28">
        <v>0.21</v>
      </c>
      <c r="L349" s="15" t="s">
        <v>34</v>
      </c>
      <c r="M349" s="15" t="s">
        <v>101</v>
      </c>
      <c r="N349" s="15" t="s">
        <v>102</v>
      </c>
      <c r="O349" s="15" t="s">
        <v>103</v>
      </c>
      <c r="P349" s="15" t="s">
        <v>104</v>
      </c>
      <c r="Q349" s="15"/>
    </row>
    <row r="350" spans="1:17" x14ac:dyDescent="0.25">
      <c r="A350" s="14"/>
      <c r="B350" s="25"/>
      <c r="C350" s="25"/>
      <c r="D350" s="15"/>
      <c r="E350" s="15"/>
      <c r="F350" s="26">
        <f>IFERROR(VLOOKUP(L350,CARTON_LOOKUP!$A:$E,3,0),"")</f>
      </c>
      <c r="G350" s="26">
        <f>IFERROR(VLOOKUP(L350,CARTON_LOOKUP!$A:$E,4,0),"")</f>
      </c>
      <c r="H350" s="26">
        <f>IFERROR(VLOOKUP(L350,CARTON_LOOKUP!$A:$E,5,0),"")</f>
      </c>
      <c r="I350" s="27">
        <f>IFERROR(VLOOKUP(L350,CARTON_LOOKUP!$A:$E,2,0),"")</f>
      </c>
      <c r="J350" s="15" t="s">
        <v>54</v>
      </c>
      <c r="K350" s="28">
        <v>0.21</v>
      </c>
      <c r="L350" s="15" t="s">
        <v>34</v>
      </c>
      <c r="M350" s="15" t="s">
        <v>101</v>
      </c>
      <c r="N350" s="15" t="s">
        <v>102</v>
      </c>
      <c r="O350" s="15" t="s">
        <v>103</v>
      </c>
      <c r="P350" s="15" t="s">
        <v>104</v>
      </c>
      <c r="Q350" s="15"/>
    </row>
    <row r="351" spans="1:17" x14ac:dyDescent="0.25">
      <c r="A351" s="14"/>
      <c r="B351" s="25"/>
      <c r="C351" s="25"/>
      <c r="D351" s="15"/>
      <c r="E351" s="15"/>
      <c r="F351" s="26">
        <f>IFERROR(VLOOKUP(L351,CARTON_LOOKUP!$A:$E,3,0),"")</f>
      </c>
      <c r="G351" s="26">
        <f>IFERROR(VLOOKUP(L351,CARTON_LOOKUP!$A:$E,4,0),"")</f>
      </c>
      <c r="H351" s="26">
        <f>IFERROR(VLOOKUP(L351,CARTON_LOOKUP!$A:$E,5,0),"")</f>
      </c>
      <c r="I351" s="27">
        <f>IFERROR(VLOOKUP(L351,CARTON_LOOKUP!$A:$E,2,0),"")</f>
      </c>
      <c r="J351" s="15" t="s">
        <v>54</v>
      </c>
      <c r="K351" s="28">
        <v>0.21</v>
      </c>
      <c r="L351" s="15" t="s">
        <v>34</v>
      </c>
      <c r="M351" s="15" t="s">
        <v>101</v>
      </c>
      <c r="N351" s="15" t="s">
        <v>102</v>
      </c>
      <c r="O351" s="15" t="s">
        <v>103</v>
      </c>
      <c r="P351" s="15" t="s">
        <v>104</v>
      </c>
      <c r="Q351" s="15"/>
    </row>
    <row r="352" spans="1:17" x14ac:dyDescent="0.25">
      <c r="A352" s="14"/>
      <c r="B352" s="25"/>
      <c r="C352" s="25"/>
      <c r="D352" s="15"/>
      <c r="E352" s="15"/>
      <c r="F352" s="26">
        <f>IFERROR(VLOOKUP(L352,CARTON_LOOKUP!$A:$E,3,0),"")</f>
      </c>
      <c r="G352" s="26">
        <f>IFERROR(VLOOKUP(L352,CARTON_LOOKUP!$A:$E,4,0),"")</f>
      </c>
      <c r="H352" s="26">
        <f>IFERROR(VLOOKUP(L352,CARTON_LOOKUP!$A:$E,5,0),"")</f>
      </c>
      <c r="I352" s="27">
        <f>IFERROR(VLOOKUP(L352,CARTON_LOOKUP!$A:$E,2,0),"")</f>
      </c>
      <c r="J352" s="15" t="s">
        <v>54</v>
      </c>
      <c r="K352" s="28">
        <v>0.21</v>
      </c>
      <c r="L352" s="15" t="s">
        <v>34</v>
      </c>
      <c r="M352" s="15" t="s">
        <v>101</v>
      </c>
      <c r="N352" s="15" t="s">
        <v>102</v>
      </c>
      <c r="O352" s="15" t="s">
        <v>103</v>
      </c>
      <c r="P352" s="15" t="s">
        <v>104</v>
      </c>
      <c r="Q352" s="15"/>
    </row>
    <row r="353" spans="1:17" x14ac:dyDescent="0.25">
      <c r="A353" s="14"/>
      <c r="B353" s="25"/>
      <c r="C353" s="25"/>
      <c r="D353" s="15"/>
      <c r="E353" s="15"/>
      <c r="F353" s="26">
        <f>IFERROR(VLOOKUP(L353,CARTON_LOOKUP!$A:$E,3,0),"")</f>
      </c>
      <c r="G353" s="26">
        <f>IFERROR(VLOOKUP(L353,CARTON_LOOKUP!$A:$E,4,0),"")</f>
      </c>
      <c r="H353" s="26">
        <f>IFERROR(VLOOKUP(L353,CARTON_LOOKUP!$A:$E,5,0),"")</f>
      </c>
      <c r="I353" s="27">
        <f>IFERROR(VLOOKUP(L353,CARTON_LOOKUP!$A:$E,2,0),"")</f>
      </c>
      <c r="J353" s="15" t="s">
        <v>54</v>
      </c>
      <c r="K353" s="28">
        <v>0.21</v>
      </c>
      <c r="L353" s="15" t="s">
        <v>34</v>
      </c>
      <c r="M353" s="15" t="s">
        <v>101</v>
      </c>
      <c r="N353" s="15" t="s">
        <v>102</v>
      </c>
      <c r="O353" s="15" t="s">
        <v>103</v>
      </c>
      <c r="P353" s="15" t="s">
        <v>104</v>
      </c>
      <c r="Q353" s="15"/>
    </row>
    <row r="354" spans="1:17" x14ac:dyDescent="0.25">
      <c r="A354" s="14"/>
      <c r="B354" s="25"/>
      <c r="C354" s="25"/>
      <c r="D354" s="15"/>
      <c r="E354" s="15"/>
      <c r="F354" s="26">
        <f>IFERROR(VLOOKUP(L354,CARTON_LOOKUP!$A:$E,3,0),"")</f>
      </c>
      <c r="G354" s="26">
        <f>IFERROR(VLOOKUP(L354,CARTON_LOOKUP!$A:$E,4,0),"")</f>
      </c>
      <c r="H354" s="26">
        <f>IFERROR(VLOOKUP(L354,CARTON_LOOKUP!$A:$E,5,0),"")</f>
      </c>
      <c r="I354" s="27">
        <f>IFERROR(VLOOKUP(L354,CARTON_LOOKUP!$A:$E,2,0),"")</f>
      </c>
      <c r="J354" s="15" t="s">
        <v>54</v>
      </c>
      <c r="K354" s="28">
        <v>0.21</v>
      </c>
      <c r="L354" s="15" t="s">
        <v>34</v>
      </c>
      <c r="M354" s="15" t="s">
        <v>101</v>
      </c>
      <c r="N354" s="15" t="s">
        <v>102</v>
      </c>
      <c r="O354" s="15" t="s">
        <v>103</v>
      </c>
      <c r="P354" s="15" t="s">
        <v>104</v>
      </c>
      <c r="Q354" s="15"/>
    </row>
    <row r="355" spans="1:17" x14ac:dyDescent="0.25">
      <c r="A355" s="14"/>
      <c r="B355" s="25"/>
      <c r="C355" s="25"/>
      <c r="D355" s="15"/>
      <c r="E355" s="15"/>
      <c r="F355" s="26">
        <f>IFERROR(VLOOKUP(L355,CARTON_LOOKUP!$A:$E,3,0),"")</f>
      </c>
      <c r="G355" s="26">
        <f>IFERROR(VLOOKUP(L355,CARTON_LOOKUP!$A:$E,4,0),"")</f>
      </c>
      <c r="H355" s="26">
        <f>IFERROR(VLOOKUP(L355,CARTON_LOOKUP!$A:$E,5,0),"")</f>
      </c>
      <c r="I355" s="27">
        <f>IFERROR(VLOOKUP(L355,CARTON_LOOKUP!$A:$E,2,0),"")</f>
      </c>
      <c r="J355" s="15" t="s">
        <v>54</v>
      </c>
      <c r="K355" s="28">
        <v>0.21</v>
      </c>
      <c r="L355" s="15" t="s">
        <v>34</v>
      </c>
      <c r="M355" s="15" t="s">
        <v>101</v>
      </c>
      <c r="N355" s="15" t="s">
        <v>102</v>
      </c>
      <c r="O355" s="15" t="s">
        <v>103</v>
      </c>
      <c r="P355" s="15" t="s">
        <v>104</v>
      </c>
      <c r="Q355" s="15"/>
    </row>
    <row r="356" spans="1:17" x14ac:dyDescent="0.25">
      <c r="A356" s="14"/>
      <c r="B356" s="25"/>
      <c r="C356" s="25"/>
      <c r="D356" s="15"/>
      <c r="E356" s="15"/>
      <c r="F356" s="26">
        <f>IFERROR(VLOOKUP(L356,CARTON_LOOKUP!$A:$E,3,0),"")</f>
      </c>
      <c r="G356" s="26">
        <f>IFERROR(VLOOKUP(L356,CARTON_LOOKUP!$A:$E,4,0),"")</f>
      </c>
      <c r="H356" s="26">
        <f>IFERROR(VLOOKUP(L356,CARTON_LOOKUP!$A:$E,5,0),"")</f>
      </c>
      <c r="I356" s="27">
        <f>IFERROR(VLOOKUP(L356,CARTON_LOOKUP!$A:$E,2,0),"")</f>
      </c>
      <c r="J356" s="15" t="s">
        <v>54</v>
      </c>
      <c r="K356" s="28">
        <v>0.21</v>
      </c>
      <c r="L356" s="15" t="s">
        <v>34</v>
      </c>
      <c r="M356" s="15" t="s">
        <v>101</v>
      </c>
      <c r="N356" s="15" t="s">
        <v>102</v>
      </c>
      <c r="O356" s="15" t="s">
        <v>103</v>
      </c>
      <c r="P356" s="15" t="s">
        <v>104</v>
      </c>
      <c r="Q356" s="15"/>
    </row>
    <row r="357" spans="1:17" x14ac:dyDescent="0.25">
      <c r="A357" s="14"/>
      <c r="B357" s="25"/>
      <c r="C357" s="25"/>
      <c r="D357" s="15"/>
      <c r="E357" s="15"/>
      <c r="F357" s="26">
        <f>IFERROR(VLOOKUP(L357,CARTON_LOOKUP!$A:$E,3,0),"")</f>
      </c>
      <c r="G357" s="26">
        <f>IFERROR(VLOOKUP(L357,CARTON_LOOKUP!$A:$E,4,0),"")</f>
      </c>
      <c r="H357" s="26">
        <f>IFERROR(VLOOKUP(L357,CARTON_LOOKUP!$A:$E,5,0),"")</f>
      </c>
      <c r="I357" s="27">
        <f>IFERROR(VLOOKUP(L357,CARTON_LOOKUP!$A:$E,2,0),"")</f>
      </c>
      <c r="J357" s="15" t="s">
        <v>54</v>
      </c>
      <c r="K357" s="28">
        <v>0.21</v>
      </c>
      <c r="L357" s="15" t="s">
        <v>34</v>
      </c>
      <c r="M357" s="15" t="s">
        <v>101</v>
      </c>
      <c r="N357" s="15" t="s">
        <v>102</v>
      </c>
      <c r="O357" s="15" t="s">
        <v>103</v>
      </c>
      <c r="P357" s="15" t="s">
        <v>104</v>
      </c>
      <c r="Q357" s="15"/>
    </row>
    <row r="358" spans="1:17" x14ac:dyDescent="0.25">
      <c r="A358" s="14"/>
      <c r="B358" s="25"/>
      <c r="C358" s="25"/>
      <c r="D358" s="15"/>
      <c r="E358" s="15"/>
      <c r="F358" s="26">
        <f>IFERROR(VLOOKUP(L358,CARTON_LOOKUP!$A:$E,3,0),"")</f>
      </c>
      <c r="G358" s="26">
        <f>IFERROR(VLOOKUP(L358,CARTON_LOOKUP!$A:$E,4,0),"")</f>
      </c>
      <c r="H358" s="26">
        <f>IFERROR(VLOOKUP(L358,CARTON_LOOKUP!$A:$E,5,0),"")</f>
      </c>
      <c r="I358" s="27">
        <f>IFERROR(VLOOKUP(L358,CARTON_LOOKUP!$A:$E,2,0),"")</f>
      </c>
      <c r="J358" s="15" t="s">
        <v>54</v>
      </c>
      <c r="K358" s="28">
        <v>0.21</v>
      </c>
      <c r="L358" s="15" t="s">
        <v>34</v>
      </c>
      <c r="M358" s="15" t="s">
        <v>101</v>
      </c>
      <c r="N358" s="15" t="s">
        <v>102</v>
      </c>
      <c r="O358" s="15" t="s">
        <v>103</v>
      </c>
      <c r="P358" s="15" t="s">
        <v>104</v>
      </c>
      <c r="Q358" s="15"/>
    </row>
    <row r="359" spans="1:17" x14ac:dyDescent="0.25">
      <c r="A359" s="14"/>
      <c r="B359" s="25"/>
      <c r="C359" s="25"/>
      <c r="D359" s="15"/>
      <c r="E359" s="15"/>
      <c r="F359" s="26">
        <f>IFERROR(VLOOKUP(L359,CARTON_LOOKUP!$A:$E,3,0),"")</f>
      </c>
      <c r="G359" s="26">
        <f>IFERROR(VLOOKUP(L359,CARTON_LOOKUP!$A:$E,4,0),"")</f>
      </c>
      <c r="H359" s="26">
        <f>IFERROR(VLOOKUP(L359,CARTON_LOOKUP!$A:$E,5,0),"")</f>
      </c>
      <c r="I359" s="27">
        <f>IFERROR(VLOOKUP(L359,CARTON_LOOKUP!$A:$E,2,0),"")</f>
      </c>
      <c r="J359" s="15" t="s">
        <v>54</v>
      </c>
      <c r="K359" s="28">
        <v>0.21</v>
      </c>
      <c r="L359" s="15" t="s">
        <v>34</v>
      </c>
      <c r="M359" s="15" t="s">
        <v>101</v>
      </c>
      <c r="N359" s="15" t="s">
        <v>102</v>
      </c>
      <c r="O359" s="15" t="s">
        <v>103</v>
      </c>
      <c r="P359" s="15" t="s">
        <v>104</v>
      </c>
      <c r="Q359" s="15"/>
    </row>
    <row r="360" spans="1:17" x14ac:dyDescent="0.25">
      <c r="A360" s="14"/>
      <c r="B360" s="25"/>
      <c r="C360" s="25"/>
      <c r="D360" s="15"/>
      <c r="E360" s="15"/>
      <c r="F360" s="26">
        <f>IFERROR(VLOOKUP(L360,CARTON_LOOKUP!$A:$E,3,0),"")</f>
      </c>
      <c r="G360" s="26">
        <f>IFERROR(VLOOKUP(L360,CARTON_LOOKUP!$A:$E,4,0),"")</f>
      </c>
      <c r="H360" s="26">
        <f>IFERROR(VLOOKUP(L360,CARTON_LOOKUP!$A:$E,5,0),"")</f>
      </c>
      <c r="I360" s="27">
        <f>IFERROR(VLOOKUP(L360,CARTON_LOOKUP!$A:$E,2,0),"")</f>
      </c>
      <c r="J360" s="15" t="s">
        <v>54</v>
      </c>
      <c r="K360" s="28">
        <v>0.21</v>
      </c>
      <c r="L360" s="15" t="s">
        <v>34</v>
      </c>
      <c r="M360" s="15" t="s">
        <v>101</v>
      </c>
      <c r="N360" s="15" t="s">
        <v>102</v>
      </c>
      <c r="O360" s="15" t="s">
        <v>103</v>
      </c>
      <c r="P360" s="15" t="s">
        <v>104</v>
      </c>
      <c r="Q360" s="15"/>
    </row>
    <row r="361" spans="1:17" x14ac:dyDescent="0.25">
      <c r="A361" s="14"/>
      <c r="B361" s="25"/>
      <c r="C361" s="25"/>
      <c r="D361" s="15"/>
      <c r="E361" s="15"/>
      <c r="F361" s="26">
        <f>IFERROR(VLOOKUP(L361,CARTON_LOOKUP!$A:$E,3,0),"")</f>
      </c>
      <c r="G361" s="26">
        <f>IFERROR(VLOOKUP(L361,CARTON_LOOKUP!$A:$E,4,0),"")</f>
      </c>
      <c r="H361" s="26">
        <f>IFERROR(VLOOKUP(L361,CARTON_LOOKUP!$A:$E,5,0),"")</f>
      </c>
      <c r="I361" s="27">
        <f>IFERROR(VLOOKUP(L361,CARTON_LOOKUP!$A:$E,2,0),"")</f>
      </c>
      <c r="J361" s="15" t="s">
        <v>54</v>
      </c>
      <c r="K361" s="28">
        <v>0.21</v>
      </c>
      <c r="L361" s="15" t="s">
        <v>34</v>
      </c>
      <c r="M361" s="15" t="s">
        <v>101</v>
      </c>
      <c r="N361" s="15" t="s">
        <v>102</v>
      </c>
      <c r="O361" s="15" t="s">
        <v>103</v>
      </c>
      <c r="P361" s="15" t="s">
        <v>104</v>
      </c>
      <c r="Q361" s="15"/>
    </row>
    <row r="362" spans="1:17" x14ac:dyDescent="0.25">
      <c r="A362" s="14"/>
      <c r="B362" s="25"/>
      <c r="C362" s="25"/>
      <c r="D362" s="15"/>
      <c r="E362" s="15"/>
      <c r="F362" s="26">
        <f>IFERROR(VLOOKUP(L362,CARTON_LOOKUP!$A:$E,3,0),"")</f>
      </c>
      <c r="G362" s="26">
        <f>IFERROR(VLOOKUP(L362,CARTON_LOOKUP!$A:$E,4,0),"")</f>
      </c>
      <c r="H362" s="26">
        <f>IFERROR(VLOOKUP(L362,CARTON_LOOKUP!$A:$E,5,0),"")</f>
      </c>
      <c r="I362" s="27">
        <f>IFERROR(VLOOKUP(L362,CARTON_LOOKUP!$A:$E,2,0),"")</f>
      </c>
      <c r="J362" s="15" t="s">
        <v>54</v>
      </c>
      <c r="K362" s="28">
        <v>0.21</v>
      </c>
      <c r="L362" s="15" t="s">
        <v>34</v>
      </c>
      <c r="M362" s="15" t="s">
        <v>101</v>
      </c>
      <c r="N362" s="15" t="s">
        <v>102</v>
      </c>
      <c r="O362" s="15" t="s">
        <v>103</v>
      </c>
      <c r="P362" s="15" t="s">
        <v>104</v>
      </c>
      <c r="Q362" s="15"/>
    </row>
    <row r="363" spans="1:17" x14ac:dyDescent="0.25">
      <c r="A363" s="14"/>
      <c r="B363" s="25"/>
      <c r="C363" s="25"/>
      <c r="D363" s="15"/>
      <c r="E363" s="15"/>
      <c r="F363" s="26">
        <f>IFERROR(VLOOKUP(L363,CARTON_LOOKUP!$A:$E,3,0),"")</f>
      </c>
      <c r="G363" s="26">
        <f>IFERROR(VLOOKUP(L363,CARTON_LOOKUP!$A:$E,4,0),"")</f>
      </c>
      <c r="H363" s="26">
        <f>IFERROR(VLOOKUP(L363,CARTON_LOOKUP!$A:$E,5,0),"")</f>
      </c>
      <c r="I363" s="27">
        <f>IFERROR(VLOOKUP(L363,CARTON_LOOKUP!$A:$E,2,0),"")</f>
      </c>
      <c r="J363" s="15" t="s">
        <v>54</v>
      </c>
      <c r="K363" s="28">
        <v>0.21</v>
      </c>
      <c r="L363" s="15" t="s">
        <v>34</v>
      </c>
      <c r="M363" s="15" t="s">
        <v>101</v>
      </c>
      <c r="N363" s="15" t="s">
        <v>102</v>
      </c>
      <c r="O363" s="15" t="s">
        <v>103</v>
      </c>
      <c r="P363" s="15" t="s">
        <v>104</v>
      </c>
      <c r="Q363" s="15"/>
    </row>
    <row r="364" spans="1:17" x14ac:dyDescent="0.25">
      <c r="A364" s="14"/>
      <c r="B364" s="25"/>
      <c r="C364" s="25"/>
      <c r="D364" s="15"/>
      <c r="E364" s="15"/>
      <c r="F364" s="26">
        <f>IFERROR(VLOOKUP(L364,CARTON_LOOKUP!$A:$E,3,0),"")</f>
      </c>
      <c r="G364" s="26">
        <f>IFERROR(VLOOKUP(L364,CARTON_LOOKUP!$A:$E,4,0),"")</f>
      </c>
      <c r="H364" s="26">
        <f>IFERROR(VLOOKUP(L364,CARTON_LOOKUP!$A:$E,5,0),"")</f>
      </c>
      <c r="I364" s="27">
        <f>IFERROR(VLOOKUP(L364,CARTON_LOOKUP!$A:$E,2,0),"")</f>
      </c>
      <c r="J364" s="15" t="s">
        <v>54</v>
      </c>
      <c r="K364" s="28">
        <v>0.21</v>
      </c>
      <c r="L364" s="15" t="s">
        <v>34</v>
      </c>
      <c r="M364" s="15" t="s">
        <v>101</v>
      </c>
      <c r="N364" s="15" t="s">
        <v>102</v>
      </c>
      <c r="O364" s="15" t="s">
        <v>103</v>
      </c>
      <c r="P364" s="15" t="s">
        <v>104</v>
      </c>
      <c r="Q364" s="15"/>
    </row>
    <row r="365" spans="1:17" x14ac:dyDescent="0.25">
      <c r="A365" s="14"/>
      <c r="B365" s="25"/>
      <c r="C365" s="25"/>
      <c r="D365" s="15"/>
      <c r="E365" s="15"/>
      <c r="F365" s="26">
        <f>IFERROR(VLOOKUP(L365,CARTON_LOOKUP!$A:$E,3,0),"")</f>
      </c>
      <c r="G365" s="26">
        <f>IFERROR(VLOOKUP(L365,CARTON_LOOKUP!$A:$E,4,0),"")</f>
      </c>
      <c r="H365" s="26">
        <f>IFERROR(VLOOKUP(L365,CARTON_LOOKUP!$A:$E,5,0),"")</f>
      </c>
      <c r="I365" s="27">
        <f>IFERROR(VLOOKUP(L365,CARTON_LOOKUP!$A:$E,2,0),"")</f>
      </c>
      <c r="J365" s="15" t="s">
        <v>54</v>
      </c>
      <c r="K365" s="28">
        <v>0.21</v>
      </c>
      <c r="L365" s="15" t="s">
        <v>34</v>
      </c>
      <c r="M365" s="15" t="s">
        <v>101</v>
      </c>
      <c r="N365" s="15" t="s">
        <v>102</v>
      </c>
      <c r="O365" s="15" t="s">
        <v>103</v>
      </c>
      <c r="P365" s="15" t="s">
        <v>104</v>
      </c>
      <c r="Q365" s="15"/>
    </row>
    <row r="366" spans="1:17" x14ac:dyDescent="0.25">
      <c r="A366" s="14"/>
      <c r="B366" s="25"/>
      <c r="C366" s="25"/>
      <c r="D366" s="15"/>
      <c r="E366" s="15"/>
      <c r="F366" s="26">
        <f>IFERROR(VLOOKUP(L366,CARTON_LOOKUP!$A:$E,3,0),"")</f>
      </c>
      <c r="G366" s="26">
        <f>IFERROR(VLOOKUP(L366,CARTON_LOOKUP!$A:$E,4,0),"")</f>
      </c>
      <c r="H366" s="26">
        <f>IFERROR(VLOOKUP(L366,CARTON_LOOKUP!$A:$E,5,0),"")</f>
      </c>
      <c r="I366" s="27">
        <f>IFERROR(VLOOKUP(L366,CARTON_LOOKUP!$A:$E,2,0),"")</f>
      </c>
      <c r="J366" s="15" t="s">
        <v>54</v>
      </c>
      <c r="K366" s="28">
        <v>0.21</v>
      </c>
      <c r="L366" s="15" t="s">
        <v>34</v>
      </c>
      <c r="M366" s="15" t="s">
        <v>101</v>
      </c>
      <c r="N366" s="15" t="s">
        <v>102</v>
      </c>
      <c r="O366" s="15" t="s">
        <v>103</v>
      </c>
      <c r="P366" s="15" t="s">
        <v>104</v>
      </c>
      <c r="Q366" s="15"/>
    </row>
    <row r="367" spans="1:17" x14ac:dyDescent="0.25">
      <c r="A367" s="14"/>
      <c r="B367" s="25"/>
      <c r="C367" s="25"/>
      <c r="D367" s="15"/>
      <c r="E367" s="15"/>
      <c r="F367" s="26">
        <f>IFERROR(VLOOKUP(L367,CARTON_LOOKUP!$A:$E,3,0),"")</f>
      </c>
      <c r="G367" s="26">
        <f>IFERROR(VLOOKUP(L367,CARTON_LOOKUP!$A:$E,4,0),"")</f>
      </c>
      <c r="H367" s="26">
        <f>IFERROR(VLOOKUP(L367,CARTON_LOOKUP!$A:$E,5,0),"")</f>
      </c>
      <c r="I367" s="27">
        <f>IFERROR(VLOOKUP(L367,CARTON_LOOKUP!$A:$E,2,0),"")</f>
      </c>
      <c r="J367" s="15" t="s">
        <v>54</v>
      </c>
      <c r="K367" s="28">
        <v>0.21</v>
      </c>
      <c r="L367" s="15" t="s">
        <v>34</v>
      </c>
      <c r="M367" s="15" t="s">
        <v>101</v>
      </c>
      <c r="N367" s="15" t="s">
        <v>102</v>
      </c>
      <c r="O367" s="15" t="s">
        <v>103</v>
      </c>
      <c r="P367" s="15" t="s">
        <v>104</v>
      </c>
      <c r="Q367" s="15"/>
    </row>
    <row r="368" spans="1:17" x14ac:dyDescent="0.25">
      <c r="A368" s="14"/>
      <c r="B368" s="25"/>
      <c r="C368" s="25"/>
      <c r="D368" s="15"/>
      <c r="E368" s="15"/>
      <c r="F368" s="26">
        <f>IFERROR(VLOOKUP(L368,CARTON_LOOKUP!$A:$E,3,0),"")</f>
      </c>
      <c r="G368" s="26">
        <f>IFERROR(VLOOKUP(L368,CARTON_LOOKUP!$A:$E,4,0),"")</f>
      </c>
      <c r="H368" s="26">
        <f>IFERROR(VLOOKUP(L368,CARTON_LOOKUP!$A:$E,5,0),"")</f>
      </c>
      <c r="I368" s="27">
        <f>IFERROR(VLOOKUP(L368,CARTON_LOOKUP!$A:$E,2,0),"")</f>
      </c>
      <c r="J368" s="15" t="s">
        <v>54</v>
      </c>
      <c r="K368" s="28">
        <v>0.21</v>
      </c>
      <c r="L368" s="15" t="s">
        <v>34</v>
      </c>
      <c r="M368" s="15" t="s">
        <v>101</v>
      </c>
      <c r="N368" s="15" t="s">
        <v>102</v>
      </c>
      <c r="O368" s="15" t="s">
        <v>103</v>
      </c>
      <c r="P368" s="15" t="s">
        <v>104</v>
      </c>
      <c r="Q368" s="15"/>
    </row>
    <row r="369" spans="1:17" x14ac:dyDescent="0.25">
      <c r="A369" s="14"/>
      <c r="B369" s="25"/>
      <c r="C369" s="25"/>
      <c r="D369" s="15"/>
      <c r="E369" s="15"/>
      <c r="F369" s="26">
        <f>IFERROR(VLOOKUP(L369,CARTON_LOOKUP!$A:$E,3,0),"")</f>
      </c>
      <c r="G369" s="26">
        <f>IFERROR(VLOOKUP(L369,CARTON_LOOKUP!$A:$E,4,0),"")</f>
      </c>
      <c r="H369" s="26">
        <f>IFERROR(VLOOKUP(L369,CARTON_LOOKUP!$A:$E,5,0),"")</f>
      </c>
      <c r="I369" s="27">
        <f>IFERROR(VLOOKUP(L369,CARTON_LOOKUP!$A:$E,2,0),"")</f>
      </c>
      <c r="J369" s="15" t="s">
        <v>54</v>
      </c>
      <c r="K369" s="28">
        <v>0.21</v>
      </c>
      <c r="L369" s="15" t="s">
        <v>34</v>
      </c>
      <c r="M369" s="15" t="s">
        <v>101</v>
      </c>
      <c r="N369" s="15" t="s">
        <v>102</v>
      </c>
      <c r="O369" s="15" t="s">
        <v>103</v>
      </c>
      <c r="P369" s="15" t="s">
        <v>104</v>
      </c>
      <c r="Q369" s="15"/>
    </row>
    <row r="370" spans="1:17" x14ac:dyDescent="0.25">
      <c r="A370" s="14"/>
      <c r="B370" s="25"/>
      <c r="C370" s="25"/>
      <c r="D370" s="15"/>
      <c r="E370" s="15"/>
      <c r="F370" s="26">
        <f>IFERROR(VLOOKUP(L370,CARTON_LOOKUP!$A:$E,3,0),"")</f>
      </c>
      <c r="G370" s="26">
        <f>IFERROR(VLOOKUP(L370,CARTON_LOOKUP!$A:$E,4,0),"")</f>
      </c>
      <c r="H370" s="26">
        <f>IFERROR(VLOOKUP(L370,CARTON_LOOKUP!$A:$E,5,0),"")</f>
      </c>
      <c r="I370" s="27">
        <f>IFERROR(VLOOKUP(L370,CARTON_LOOKUP!$A:$E,2,0),"")</f>
      </c>
      <c r="J370" s="15" t="s">
        <v>54</v>
      </c>
      <c r="K370" s="28">
        <v>0.21</v>
      </c>
      <c r="L370" s="15" t="s">
        <v>34</v>
      </c>
      <c r="M370" s="15" t="s">
        <v>101</v>
      </c>
      <c r="N370" s="15" t="s">
        <v>102</v>
      </c>
      <c r="O370" s="15" t="s">
        <v>103</v>
      </c>
      <c r="P370" s="15" t="s">
        <v>104</v>
      </c>
      <c r="Q370" s="15"/>
    </row>
    <row r="371" spans="1:17" x14ac:dyDescent="0.25">
      <c r="A371" s="14"/>
      <c r="B371" s="25"/>
      <c r="C371" s="25"/>
      <c r="D371" s="15"/>
      <c r="E371" s="15"/>
      <c r="F371" s="26">
        <f>IFERROR(VLOOKUP(L371,CARTON_LOOKUP!$A:$E,3,0),"")</f>
      </c>
      <c r="G371" s="26">
        <f>IFERROR(VLOOKUP(L371,CARTON_LOOKUP!$A:$E,4,0),"")</f>
      </c>
      <c r="H371" s="26">
        <f>IFERROR(VLOOKUP(L371,CARTON_LOOKUP!$A:$E,5,0),"")</f>
      </c>
      <c r="I371" s="27">
        <f>IFERROR(VLOOKUP(L371,CARTON_LOOKUP!$A:$E,2,0),"")</f>
      </c>
      <c r="J371" s="15" t="s">
        <v>54</v>
      </c>
      <c r="K371" s="28">
        <v>0.21</v>
      </c>
      <c r="L371" s="15" t="s">
        <v>34</v>
      </c>
      <c r="M371" s="15" t="s">
        <v>101</v>
      </c>
      <c r="N371" s="15" t="s">
        <v>102</v>
      </c>
      <c r="O371" s="15" t="s">
        <v>103</v>
      </c>
      <c r="P371" s="15" t="s">
        <v>104</v>
      </c>
      <c r="Q371" s="15"/>
    </row>
    <row r="372" spans="1:17" x14ac:dyDescent="0.25">
      <c r="A372" s="14"/>
      <c r="B372" s="25"/>
      <c r="C372" s="25"/>
      <c r="D372" s="15"/>
      <c r="E372" s="15"/>
      <c r="F372" s="26">
        <f>IFERROR(VLOOKUP(L372,CARTON_LOOKUP!$A:$E,3,0),"")</f>
      </c>
      <c r="G372" s="26">
        <f>IFERROR(VLOOKUP(L372,CARTON_LOOKUP!$A:$E,4,0),"")</f>
      </c>
      <c r="H372" s="26">
        <f>IFERROR(VLOOKUP(L372,CARTON_LOOKUP!$A:$E,5,0),"")</f>
      </c>
      <c r="I372" s="27">
        <f>IFERROR(VLOOKUP(L372,CARTON_LOOKUP!$A:$E,2,0),"")</f>
      </c>
      <c r="J372" s="15" t="s">
        <v>54</v>
      </c>
      <c r="K372" s="28">
        <v>0.21</v>
      </c>
      <c r="L372" s="15" t="s">
        <v>34</v>
      </c>
      <c r="M372" s="15" t="s">
        <v>101</v>
      </c>
      <c r="N372" s="15" t="s">
        <v>102</v>
      </c>
      <c r="O372" s="15" t="s">
        <v>103</v>
      </c>
      <c r="P372" s="15" t="s">
        <v>104</v>
      </c>
      <c r="Q372" s="15"/>
    </row>
    <row r="373" spans="1:17" x14ac:dyDescent="0.25">
      <c r="A373" s="14"/>
      <c r="B373" s="25"/>
      <c r="C373" s="25"/>
      <c r="D373" s="15"/>
      <c r="E373" s="15"/>
      <c r="F373" s="26">
        <f>IFERROR(VLOOKUP(L373,CARTON_LOOKUP!$A:$E,3,0),"")</f>
      </c>
      <c r="G373" s="26">
        <f>IFERROR(VLOOKUP(L373,CARTON_LOOKUP!$A:$E,4,0),"")</f>
      </c>
      <c r="H373" s="26">
        <f>IFERROR(VLOOKUP(L373,CARTON_LOOKUP!$A:$E,5,0),"")</f>
      </c>
      <c r="I373" s="27">
        <f>IFERROR(VLOOKUP(L373,CARTON_LOOKUP!$A:$E,2,0),"")</f>
      </c>
      <c r="J373" s="15" t="s">
        <v>54</v>
      </c>
      <c r="K373" s="28">
        <v>0.21</v>
      </c>
      <c r="L373" s="15" t="s">
        <v>34</v>
      </c>
      <c r="M373" s="15" t="s">
        <v>101</v>
      </c>
      <c r="N373" s="15" t="s">
        <v>102</v>
      </c>
      <c r="O373" s="15" t="s">
        <v>103</v>
      </c>
      <c r="P373" s="15" t="s">
        <v>104</v>
      </c>
      <c r="Q373" s="15"/>
    </row>
    <row r="374" spans="1:17" x14ac:dyDescent="0.25">
      <c r="A374" s="14"/>
      <c r="B374" s="25"/>
      <c r="C374" s="25"/>
      <c r="D374" s="15"/>
      <c r="E374" s="15"/>
      <c r="F374" s="26">
        <f>IFERROR(VLOOKUP(L374,CARTON_LOOKUP!$A:$E,3,0),"")</f>
      </c>
      <c r="G374" s="26">
        <f>IFERROR(VLOOKUP(L374,CARTON_LOOKUP!$A:$E,4,0),"")</f>
      </c>
      <c r="H374" s="26">
        <f>IFERROR(VLOOKUP(L374,CARTON_LOOKUP!$A:$E,5,0),"")</f>
      </c>
      <c r="I374" s="27">
        <f>IFERROR(VLOOKUP(L374,CARTON_LOOKUP!$A:$E,2,0),"")</f>
      </c>
      <c r="J374" s="15" t="s">
        <v>54</v>
      </c>
      <c r="K374" s="28">
        <v>0.21</v>
      </c>
      <c r="L374" s="15" t="s">
        <v>34</v>
      </c>
      <c r="M374" s="15" t="s">
        <v>101</v>
      </c>
      <c r="N374" s="15" t="s">
        <v>102</v>
      </c>
      <c r="O374" s="15" t="s">
        <v>103</v>
      </c>
      <c r="P374" s="15" t="s">
        <v>104</v>
      </c>
      <c r="Q374" s="15"/>
    </row>
    <row r="375" spans="1:17" x14ac:dyDescent="0.25">
      <c r="A375" s="14"/>
      <c r="B375" s="25"/>
      <c r="C375" s="25"/>
      <c r="D375" s="15"/>
      <c r="E375" s="15"/>
      <c r="F375" s="26">
        <f>IFERROR(VLOOKUP(L375,CARTON_LOOKUP!$A:$E,3,0),"")</f>
      </c>
      <c r="G375" s="26">
        <f>IFERROR(VLOOKUP(L375,CARTON_LOOKUP!$A:$E,4,0),"")</f>
      </c>
      <c r="H375" s="26">
        <f>IFERROR(VLOOKUP(L375,CARTON_LOOKUP!$A:$E,5,0),"")</f>
      </c>
      <c r="I375" s="27">
        <f>IFERROR(VLOOKUP(L375,CARTON_LOOKUP!$A:$E,2,0),"")</f>
      </c>
      <c r="J375" s="15" t="s">
        <v>54</v>
      </c>
      <c r="K375" s="28">
        <v>0.21</v>
      </c>
      <c r="L375" s="15" t="s">
        <v>34</v>
      </c>
      <c r="M375" s="15" t="s">
        <v>101</v>
      </c>
      <c r="N375" s="15" t="s">
        <v>102</v>
      </c>
      <c r="O375" s="15" t="s">
        <v>103</v>
      </c>
      <c r="P375" s="15" t="s">
        <v>104</v>
      </c>
      <c r="Q375" s="15"/>
    </row>
    <row r="376" spans="1:17" x14ac:dyDescent="0.25">
      <c r="A376" s="14"/>
      <c r="B376" s="25"/>
      <c r="C376" s="25"/>
      <c r="D376" s="15"/>
      <c r="E376" s="15"/>
      <c r="F376" s="26">
        <f>IFERROR(VLOOKUP(L376,CARTON_LOOKUP!$A:$E,3,0),"")</f>
      </c>
      <c r="G376" s="26">
        <f>IFERROR(VLOOKUP(L376,CARTON_LOOKUP!$A:$E,4,0),"")</f>
      </c>
      <c r="H376" s="26">
        <f>IFERROR(VLOOKUP(L376,CARTON_LOOKUP!$A:$E,5,0),"")</f>
      </c>
      <c r="I376" s="27">
        <f>IFERROR(VLOOKUP(L376,CARTON_LOOKUP!$A:$E,2,0),"")</f>
      </c>
      <c r="J376" s="15" t="s">
        <v>54</v>
      </c>
      <c r="K376" s="28">
        <v>0.21</v>
      </c>
      <c r="L376" s="15" t="s">
        <v>34</v>
      </c>
      <c r="M376" s="15" t="s">
        <v>101</v>
      </c>
      <c r="N376" s="15" t="s">
        <v>102</v>
      </c>
      <c r="O376" s="15" t="s">
        <v>103</v>
      </c>
      <c r="P376" s="15" t="s">
        <v>104</v>
      </c>
      <c r="Q376" s="15"/>
    </row>
    <row r="377" spans="1:17" x14ac:dyDescent="0.25">
      <c r="A377" s="14"/>
      <c r="B377" s="25"/>
      <c r="C377" s="25"/>
      <c r="D377" s="15"/>
      <c r="E377" s="15"/>
      <c r="F377" s="26">
        <f>IFERROR(VLOOKUP(L377,CARTON_LOOKUP!$A:$E,3,0),"")</f>
      </c>
      <c r="G377" s="26">
        <f>IFERROR(VLOOKUP(L377,CARTON_LOOKUP!$A:$E,4,0),"")</f>
      </c>
      <c r="H377" s="26">
        <f>IFERROR(VLOOKUP(L377,CARTON_LOOKUP!$A:$E,5,0),"")</f>
      </c>
      <c r="I377" s="27">
        <f>IFERROR(VLOOKUP(L377,CARTON_LOOKUP!$A:$E,2,0),"")</f>
      </c>
      <c r="J377" s="15" t="s">
        <v>54</v>
      </c>
      <c r="K377" s="28">
        <v>0.21</v>
      </c>
      <c r="L377" s="15" t="s">
        <v>34</v>
      </c>
      <c r="M377" s="15" t="s">
        <v>101</v>
      </c>
      <c r="N377" s="15" t="s">
        <v>102</v>
      </c>
      <c r="O377" s="15" t="s">
        <v>103</v>
      </c>
      <c r="P377" s="15" t="s">
        <v>104</v>
      </c>
      <c r="Q377" s="15"/>
    </row>
    <row r="378" spans="1:17" x14ac:dyDescent="0.25">
      <c r="A378" s="14"/>
      <c r="B378" s="25"/>
      <c r="C378" s="25"/>
      <c r="D378" s="15"/>
      <c r="E378" s="15"/>
      <c r="F378" s="26">
        <f>IFERROR(VLOOKUP(L378,CARTON_LOOKUP!$A:$E,3,0),"")</f>
      </c>
      <c r="G378" s="26">
        <f>IFERROR(VLOOKUP(L378,CARTON_LOOKUP!$A:$E,4,0),"")</f>
      </c>
      <c r="H378" s="26">
        <f>IFERROR(VLOOKUP(L378,CARTON_LOOKUP!$A:$E,5,0),"")</f>
      </c>
      <c r="I378" s="27">
        <f>IFERROR(VLOOKUP(L378,CARTON_LOOKUP!$A:$E,2,0),"")</f>
      </c>
      <c r="J378" s="15" t="s">
        <v>54</v>
      </c>
      <c r="K378" s="28">
        <v>0.21</v>
      </c>
      <c r="L378" s="15" t="s">
        <v>34</v>
      </c>
      <c r="M378" s="15" t="s">
        <v>101</v>
      </c>
      <c r="N378" s="15" t="s">
        <v>102</v>
      </c>
      <c r="O378" s="15" t="s">
        <v>103</v>
      </c>
      <c r="P378" s="15" t="s">
        <v>104</v>
      </c>
      <c r="Q378" s="15"/>
    </row>
    <row r="379" spans="1:17" x14ac:dyDescent="0.25">
      <c r="A379" s="14"/>
      <c r="B379" s="25"/>
      <c r="C379" s="25"/>
      <c r="D379" s="15"/>
      <c r="E379" s="15"/>
      <c r="F379" s="26">
        <f>IFERROR(VLOOKUP(L379,CARTON_LOOKUP!$A:$E,3,0),"")</f>
      </c>
      <c r="G379" s="26">
        <f>IFERROR(VLOOKUP(L379,CARTON_LOOKUP!$A:$E,4,0),"")</f>
      </c>
      <c r="H379" s="26">
        <f>IFERROR(VLOOKUP(L379,CARTON_LOOKUP!$A:$E,5,0),"")</f>
      </c>
      <c r="I379" s="27">
        <f>IFERROR(VLOOKUP(L379,CARTON_LOOKUP!$A:$E,2,0),"")</f>
      </c>
      <c r="J379" s="15" t="s">
        <v>54</v>
      </c>
      <c r="K379" s="28">
        <v>0.21</v>
      </c>
      <c r="L379" s="15" t="s">
        <v>34</v>
      </c>
      <c r="M379" s="15" t="s">
        <v>101</v>
      </c>
      <c r="N379" s="15" t="s">
        <v>102</v>
      </c>
      <c r="O379" s="15" t="s">
        <v>103</v>
      </c>
      <c r="P379" s="15" t="s">
        <v>104</v>
      </c>
      <c r="Q379" s="15"/>
    </row>
    <row r="380" spans="1:17" x14ac:dyDescent="0.25">
      <c r="A380" s="14"/>
      <c r="B380" s="25"/>
      <c r="C380" s="25"/>
      <c r="D380" s="15"/>
      <c r="E380" s="15"/>
      <c r="F380" s="26">
        <f>IFERROR(VLOOKUP(L380,CARTON_LOOKUP!$A:$E,3,0),"")</f>
      </c>
      <c r="G380" s="26">
        <f>IFERROR(VLOOKUP(L380,CARTON_LOOKUP!$A:$E,4,0),"")</f>
      </c>
      <c r="H380" s="26">
        <f>IFERROR(VLOOKUP(L380,CARTON_LOOKUP!$A:$E,5,0),"")</f>
      </c>
      <c r="I380" s="27">
        <f>IFERROR(VLOOKUP(L380,CARTON_LOOKUP!$A:$E,2,0),"")</f>
      </c>
      <c r="J380" s="15" t="s">
        <v>54</v>
      </c>
      <c r="K380" s="28">
        <v>0.21</v>
      </c>
      <c r="L380" s="15" t="s">
        <v>34</v>
      </c>
      <c r="M380" s="15" t="s">
        <v>101</v>
      </c>
      <c r="N380" s="15" t="s">
        <v>102</v>
      </c>
      <c r="O380" s="15" t="s">
        <v>103</v>
      </c>
      <c r="P380" s="15" t="s">
        <v>104</v>
      </c>
      <c r="Q380" s="15"/>
    </row>
    <row r="381" spans="1:17" x14ac:dyDescent="0.25">
      <c r="A381" s="14"/>
      <c r="B381" s="25"/>
      <c r="C381" s="25"/>
      <c r="D381" s="15"/>
      <c r="E381" s="15"/>
      <c r="F381" s="26">
        <f>IFERROR(VLOOKUP(L381,CARTON_LOOKUP!$A:$E,3,0),"")</f>
      </c>
      <c r="G381" s="26">
        <f>IFERROR(VLOOKUP(L381,CARTON_LOOKUP!$A:$E,4,0),"")</f>
      </c>
      <c r="H381" s="26">
        <f>IFERROR(VLOOKUP(L381,CARTON_LOOKUP!$A:$E,5,0),"")</f>
      </c>
      <c r="I381" s="27">
        <f>IFERROR(VLOOKUP(L381,CARTON_LOOKUP!$A:$E,2,0),"")</f>
      </c>
      <c r="J381" s="15" t="s">
        <v>54</v>
      </c>
      <c r="K381" s="28">
        <v>0.21</v>
      </c>
      <c r="L381" s="15" t="s">
        <v>34</v>
      </c>
      <c r="M381" s="15" t="s">
        <v>101</v>
      </c>
      <c r="N381" s="15" t="s">
        <v>102</v>
      </c>
      <c r="O381" s="15" t="s">
        <v>103</v>
      </c>
      <c r="P381" s="15" t="s">
        <v>104</v>
      </c>
      <c r="Q381" s="15"/>
    </row>
    <row r="382" spans="1:17" x14ac:dyDescent="0.25">
      <c r="A382" s="14"/>
      <c r="B382" s="25"/>
      <c r="C382" s="25"/>
      <c r="D382" s="15"/>
      <c r="E382" s="15"/>
      <c r="F382" s="26">
        <f>IFERROR(VLOOKUP(L382,CARTON_LOOKUP!$A:$E,3,0),"")</f>
      </c>
      <c r="G382" s="26">
        <f>IFERROR(VLOOKUP(L382,CARTON_LOOKUP!$A:$E,4,0),"")</f>
      </c>
      <c r="H382" s="26">
        <f>IFERROR(VLOOKUP(L382,CARTON_LOOKUP!$A:$E,5,0),"")</f>
      </c>
      <c r="I382" s="27">
        <f>IFERROR(VLOOKUP(L382,CARTON_LOOKUP!$A:$E,2,0),"")</f>
      </c>
      <c r="J382" s="15" t="s">
        <v>54</v>
      </c>
      <c r="K382" s="28">
        <v>0.21</v>
      </c>
      <c r="L382" s="15" t="s">
        <v>34</v>
      </c>
      <c r="M382" s="15" t="s">
        <v>101</v>
      </c>
      <c r="N382" s="15" t="s">
        <v>102</v>
      </c>
      <c r="O382" s="15" t="s">
        <v>103</v>
      </c>
      <c r="P382" s="15" t="s">
        <v>104</v>
      </c>
      <c r="Q382" s="15"/>
    </row>
    <row r="383" spans="1:17" x14ac:dyDescent="0.25">
      <c r="A383" s="14"/>
      <c r="B383" s="25"/>
      <c r="C383" s="25"/>
      <c r="D383" s="15"/>
      <c r="E383" s="15"/>
      <c r="F383" s="26">
        <f>IFERROR(VLOOKUP(L383,CARTON_LOOKUP!$A:$E,3,0),"")</f>
      </c>
      <c r="G383" s="26">
        <f>IFERROR(VLOOKUP(L383,CARTON_LOOKUP!$A:$E,4,0),"")</f>
      </c>
      <c r="H383" s="26">
        <f>IFERROR(VLOOKUP(L383,CARTON_LOOKUP!$A:$E,5,0),"")</f>
      </c>
      <c r="I383" s="27">
        <f>IFERROR(VLOOKUP(L383,CARTON_LOOKUP!$A:$E,2,0),"")</f>
      </c>
      <c r="J383" s="15" t="s">
        <v>54</v>
      </c>
      <c r="K383" s="28">
        <v>0.21</v>
      </c>
      <c r="L383" s="15" t="s">
        <v>34</v>
      </c>
      <c r="M383" s="15" t="s">
        <v>101</v>
      </c>
      <c r="N383" s="15" t="s">
        <v>102</v>
      </c>
      <c r="O383" s="15" t="s">
        <v>103</v>
      </c>
      <c r="P383" s="15" t="s">
        <v>104</v>
      </c>
      <c r="Q383" s="15"/>
    </row>
    <row r="384" spans="1:17" x14ac:dyDescent="0.25">
      <c r="A384" s="14"/>
      <c r="B384" s="25"/>
      <c r="C384" s="25"/>
      <c r="D384" s="15"/>
      <c r="E384" s="15"/>
      <c r="F384" s="26">
        <f>IFERROR(VLOOKUP(L384,CARTON_LOOKUP!$A:$E,3,0),"")</f>
      </c>
      <c r="G384" s="26">
        <f>IFERROR(VLOOKUP(L384,CARTON_LOOKUP!$A:$E,4,0),"")</f>
      </c>
      <c r="H384" s="26">
        <f>IFERROR(VLOOKUP(L384,CARTON_LOOKUP!$A:$E,5,0),"")</f>
      </c>
      <c r="I384" s="27">
        <f>IFERROR(VLOOKUP(L384,CARTON_LOOKUP!$A:$E,2,0),"")</f>
      </c>
      <c r="J384" s="15" t="s">
        <v>54</v>
      </c>
      <c r="K384" s="28">
        <v>0.21</v>
      </c>
      <c r="L384" s="15" t="s">
        <v>34</v>
      </c>
      <c r="M384" s="15" t="s">
        <v>101</v>
      </c>
      <c r="N384" s="15" t="s">
        <v>102</v>
      </c>
      <c r="O384" s="15" t="s">
        <v>103</v>
      </c>
      <c r="P384" s="15" t="s">
        <v>104</v>
      </c>
      <c r="Q384" s="15"/>
    </row>
    <row r="385" spans="1:17" x14ac:dyDescent="0.25">
      <c r="A385" s="14"/>
      <c r="B385" s="25"/>
      <c r="C385" s="25"/>
      <c r="D385" s="15"/>
      <c r="E385" s="15"/>
      <c r="F385" s="26">
        <f>IFERROR(VLOOKUP(L385,CARTON_LOOKUP!$A:$E,3,0),"")</f>
      </c>
      <c r="G385" s="26">
        <f>IFERROR(VLOOKUP(L385,CARTON_LOOKUP!$A:$E,4,0),"")</f>
      </c>
      <c r="H385" s="26">
        <f>IFERROR(VLOOKUP(L385,CARTON_LOOKUP!$A:$E,5,0),"")</f>
      </c>
      <c r="I385" s="27">
        <f>IFERROR(VLOOKUP(L385,CARTON_LOOKUP!$A:$E,2,0),"")</f>
      </c>
      <c r="J385" s="15" t="s">
        <v>54</v>
      </c>
      <c r="K385" s="28">
        <v>0.21</v>
      </c>
      <c r="L385" s="15" t="s">
        <v>34</v>
      </c>
      <c r="M385" s="15" t="s">
        <v>101</v>
      </c>
      <c r="N385" s="15" t="s">
        <v>102</v>
      </c>
      <c r="O385" s="15" t="s">
        <v>103</v>
      </c>
      <c r="P385" s="15" t="s">
        <v>104</v>
      </c>
      <c r="Q385" s="15"/>
    </row>
    <row r="386" spans="1:17" x14ac:dyDescent="0.25">
      <c r="A386" s="14"/>
      <c r="B386" s="25"/>
      <c r="C386" s="25"/>
      <c r="D386" s="15"/>
      <c r="E386" s="15"/>
      <c r="F386" s="26">
        <f>IFERROR(VLOOKUP(L386,CARTON_LOOKUP!$A:$E,3,0),"")</f>
      </c>
      <c r="G386" s="26">
        <f>IFERROR(VLOOKUP(L386,CARTON_LOOKUP!$A:$E,4,0),"")</f>
      </c>
      <c r="H386" s="26">
        <f>IFERROR(VLOOKUP(L386,CARTON_LOOKUP!$A:$E,5,0),"")</f>
      </c>
      <c r="I386" s="27">
        <f>IFERROR(VLOOKUP(L386,CARTON_LOOKUP!$A:$E,2,0),"")</f>
      </c>
      <c r="J386" s="15" t="s">
        <v>54</v>
      </c>
      <c r="K386" s="28">
        <v>0.21</v>
      </c>
      <c r="L386" s="15" t="s">
        <v>34</v>
      </c>
      <c r="M386" s="15" t="s">
        <v>101</v>
      </c>
      <c r="N386" s="15" t="s">
        <v>102</v>
      </c>
      <c r="O386" s="15" t="s">
        <v>103</v>
      </c>
      <c r="P386" s="15" t="s">
        <v>104</v>
      </c>
      <c r="Q386" s="15"/>
    </row>
    <row r="387" spans="1:17" x14ac:dyDescent="0.25">
      <c r="A387" s="14"/>
      <c r="B387" s="25"/>
      <c r="C387" s="25"/>
      <c r="D387" s="15"/>
      <c r="E387" s="15"/>
      <c r="F387" s="26">
        <f>IFERROR(VLOOKUP(L387,CARTON_LOOKUP!$A:$E,3,0),"")</f>
      </c>
      <c r="G387" s="26">
        <f>IFERROR(VLOOKUP(L387,CARTON_LOOKUP!$A:$E,4,0),"")</f>
      </c>
      <c r="H387" s="26">
        <f>IFERROR(VLOOKUP(L387,CARTON_LOOKUP!$A:$E,5,0),"")</f>
      </c>
      <c r="I387" s="27">
        <f>IFERROR(VLOOKUP(L387,CARTON_LOOKUP!$A:$E,2,0),"")</f>
      </c>
      <c r="J387" s="15" t="s">
        <v>54</v>
      </c>
      <c r="K387" s="28">
        <v>0.21</v>
      </c>
      <c r="L387" s="15" t="s">
        <v>34</v>
      </c>
      <c r="M387" s="15" t="s">
        <v>101</v>
      </c>
      <c r="N387" s="15" t="s">
        <v>102</v>
      </c>
      <c r="O387" s="15" t="s">
        <v>103</v>
      </c>
      <c r="P387" s="15" t="s">
        <v>104</v>
      </c>
      <c r="Q387" s="15"/>
    </row>
    <row r="388" spans="1:17" x14ac:dyDescent="0.25">
      <c r="A388" s="14"/>
      <c r="B388" s="25"/>
      <c r="C388" s="25"/>
      <c r="D388" s="15"/>
      <c r="E388" s="15"/>
      <c r="F388" s="26">
        <f>IFERROR(VLOOKUP(L388,CARTON_LOOKUP!$A:$E,3,0),"")</f>
      </c>
      <c r="G388" s="26">
        <f>IFERROR(VLOOKUP(L388,CARTON_LOOKUP!$A:$E,4,0),"")</f>
      </c>
      <c r="H388" s="26">
        <f>IFERROR(VLOOKUP(L388,CARTON_LOOKUP!$A:$E,5,0),"")</f>
      </c>
      <c r="I388" s="27">
        <f>IFERROR(VLOOKUP(L388,CARTON_LOOKUP!$A:$E,2,0),"")</f>
      </c>
      <c r="J388" s="15" t="s">
        <v>54</v>
      </c>
      <c r="K388" s="28">
        <v>0.21</v>
      </c>
      <c r="L388" s="15" t="s">
        <v>34</v>
      </c>
      <c r="M388" s="15" t="s">
        <v>101</v>
      </c>
      <c r="N388" s="15" t="s">
        <v>102</v>
      </c>
      <c r="O388" s="15" t="s">
        <v>103</v>
      </c>
      <c r="P388" s="15" t="s">
        <v>104</v>
      </c>
      <c r="Q388" s="15"/>
    </row>
    <row r="389" spans="1:17" x14ac:dyDescent="0.25">
      <c r="A389" s="14"/>
      <c r="B389" s="25"/>
      <c r="C389" s="25"/>
      <c r="D389" s="15"/>
      <c r="E389" s="15"/>
      <c r="F389" s="26">
        <f>IFERROR(VLOOKUP(L389,CARTON_LOOKUP!$A:$E,3,0),"")</f>
      </c>
      <c r="G389" s="26">
        <f>IFERROR(VLOOKUP(L389,CARTON_LOOKUP!$A:$E,4,0),"")</f>
      </c>
      <c r="H389" s="26">
        <f>IFERROR(VLOOKUP(L389,CARTON_LOOKUP!$A:$E,5,0),"")</f>
      </c>
      <c r="I389" s="27">
        <f>IFERROR(VLOOKUP(L389,CARTON_LOOKUP!$A:$E,2,0),"")</f>
      </c>
      <c r="J389" s="15" t="s">
        <v>54</v>
      </c>
      <c r="K389" s="28">
        <v>0.21</v>
      </c>
      <c r="L389" s="15" t="s">
        <v>34</v>
      </c>
      <c r="M389" s="15" t="s">
        <v>101</v>
      </c>
      <c r="N389" s="15" t="s">
        <v>102</v>
      </c>
      <c r="O389" s="15" t="s">
        <v>103</v>
      </c>
      <c r="P389" s="15" t="s">
        <v>104</v>
      </c>
      <c r="Q389" s="15"/>
    </row>
    <row r="390" spans="1:17" x14ac:dyDescent="0.25">
      <c r="A390" s="14"/>
      <c r="B390" s="25"/>
      <c r="C390" s="25"/>
      <c r="D390" s="15"/>
      <c r="E390" s="15"/>
      <c r="F390" s="26">
        <f>IFERROR(VLOOKUP(L390,CARTON_LOOKUP!$A:$E,3,0),"")</f>
      </c>
      <c r="G390" s="26">
        <f>IFERROR(VLOOKUP(L390,CARTON_LOOKUP!$A:$E,4,0),"")</f>
      </c>
      <c r="H390" s="26">
        <f>IFERROR(VLOOKUP(L390,CARTON_LOOKUP!$A:$E,5,0),"")</f>
      </c>
      <c r="I390" s="27">
        <f>IFERROR(VLOOKUP(L390,CARTON_LOOKUP!$A:$E,2,0),"")</f>
      </c>
      <c r="J390" s="15" t="s">
        <v>54</v>
      </c>
      <c r="K390" s="28">
        <v>0.21</v>
      </c>
      <c r="L390" s="15" t="s">
        <v>34</v>
      </c>
      <c r="M390" s="15" t="s">
        <v>101</v>
      </c>
      <c r="N390" s="15" t="s">
        <v>102</v>
      </c>
      <c r="O390" s="15" t="s">
        <v>103</v>
      </c>
      <c r="P390" s="15" t="s">
        <v>104</v>
      </c>
      <c r="Q390" s="15"/>
    </row>
    <row r="391" spans="1:17" x14ac:dyDescent="0.25">
      <c r="A391" s="14"/>
      <c r="B391" s="25"/>
      <c r="C391" s="25"/>
      <c r="D391" s="15"/>
      <c r="E391" s="15"/>
      <c r="F391" s="26">
        <f>IFERROR(VLOOKUP(L391,CARTON_LOOKUP!$A:$E,3,0),"")</f>
      </c>
      <c r="G391" s="26">
        <f>IFERROR(VLOOKUP(L391,CARTON_LOOKUP!$A:$E,4,0),"")</f>
      </c>
      <c r="H391" s="26">
        <f>IFERROR(VLOOKUP(L391,CARTON_LOOKUP!$A:$E,5,0),"")</f>
      </c>
      <c r="I391" s="27">
        <f>IFERROR(VLOOKUP(L391,CARTON_LOOKUP!$A:$E,2,0),"")</f>
      </c>
      <c r="J391" s="15" t="s">
        <v>54</v>
      </c>
      <c r="K391" s="28">
        <v>0.21</v>
      </c>
      <c r="L391" s="15" t="s">
        <v>34</v>
      </c>
      <c r="M391" s="15" t="s">
        <v>101</v>
      </c>
      <c r="N391" s="15" t="s">
        <v>102</v>
      </c>
      <c r="O391" s="15" t="s">
        <v>103</v>
      </c>
      <c r="P391" s="15" t="s">
        <v>104</v>
      </c>
      <c r="Q391" s="15"/>
    </row>
    <row r="392" spans="1:17" x14ac:dyDescent="0.25">
      <c r="A392" s="14"/>
      <c r="B392" s="25"/>
      <c r="C392" s="25"/>
      <c r="D392" s="15"/>
      <c r="E392" s="15"/>
      <c r="F392" s="26">
        <f>IFERROR(VLOOKUP(L392,CARTON_LOOKUP!$A:$E,3,0),"")</f>
      </c>
      <c r="G392" s="26">
        <f>IFERROR(VLOOKUP(L392,CARTON_LOOKUP!$A:$E,4,0),"")</f>
      </c>
      <c r="H392" s="26">
        <f>IFERROR(VLOOKUP(L392,CARTON_LOOKUP!$A:$E,5,0),"")</f>
      </c>
      <c r="I392" s="27">
        <f>IFERROR(VLOOKUP(L392,CARTON_LOOKUP!$A:$E,2,0),"")</f>
      </c>
      <c r="J392" s="15" t="s">
        <v>54</v>
      </c>
      <c r="K392" s="28">
        <v>0.21</v>
      </c>
      <c r="L392" s="15" t="s">
        <v>34</v>
      </c>
      <c r="M392" s="15" t="s">
        <v>101</v>
      </c>
      <c r="N392" s="15" t="s">
        <v>102</v>
      </c>
      <c r="O392" s="15" t="s">
        <v>103</v>
      </c>
      <c r="P392" s="15" t="s">
        <v>104</v>
      </c>
      <c r="Q392" s="15"/>
    </row>
    <row r="393" spans="1:17" x14ac:dyDescent="0.25">
      <c r="A393" s="14"/>
      <c r="B393" s="25"/>
      <c r="C393" s="25"/>
      <c r="D393" s="15"/>
      <c r="E393" s="15"/>
      <c r="F393" s="26">
        <f>IFERROR(VLOOKUP(L393,CARTON_LOOKUP!$A:$E,3,0),"")</f>
      </c>
      <c r="G393" s="26">
        <f>IFERROR(VLOOKUP(L393,CARTON_LOOKUP!$A:$E,4,0),"")</f>
      </c>
      <c r="H393" s="26">
        <f>IFERROR(VLOOKUP(L393,CARTON_LOOKUP!$A:$E,5,0),"")</f>
      </c>
      <c r="I393" s="27">
        <f>IFERROR(VLOOKUP(L393,CARTON_LOOKUP!$A:$E,2,0),"")</f>
      </c>
      <c r="J393" s="15" t="s">
        <v>54</v>
      </c>
      <c r="K393" s="28">
        <v>0.21</v>
      </c>
      <c r="L393" s="15" t="s">
        <v>34</v>
      </c>
      <c r="M393" s="15" t="s">
        <v>101</v>
      </c>
      <c r="N393" s="15" t="s">
        <v>102</v>
      </c>
      <c r="O393" s="15" t="s">
        <v>103</v>
      </c>
      <c r="P393" s="15" t="s">
        <v>104</v>
      </c>
      <c r="Q393" s="15"/>
    </row>
    <row r="394" spans="1:17" x14ac:dyDescent="0.25">
      <c r="A394" s="14"/>
      <c r="B394" s="25"/>
      <c r="C394" s="25"/>
      <c r="D394" s="15"/>
      <c r="E394" s="15"/>
      <c r="F394" s="26">
        <f>IFERROR(VLOOKUP(L394,CARTON_LOOKUP!$A:$E,3,0),"")</f>
      </c>
      <c r="G394" s="26">
        <f>IFERROR(VLOOKUP(L394,CARTON_LOOKUP!$A:$E,4,0),"")</f>
      </c>
      <c r="H394" s="26">
        <f>IFERROR(VLOOKUP(L394,CARTON_LOOKUP!$A:$E,5,0),"")</f>
      </c>
      <c r="I394" s="27">
        <f>IFERROR(VLOOKUP(L394,CARTON_LOOKUP!$A:$E,2,0),"")</f>
      </c>
      <c r="J394" s="15" t="s">
        <v>54</v>
      </c>
      <c r="K394" s="28">
        <v>0.21</v>
      </c>
      <c r="L394" s="15" t="s">
        <v>34</v>
      </c>
      <c r="M394" s="15" t="s">
        <v>101</v>
      </c>
      <c r="N394" s="15" t="s">
        <v>102</v>
      </c>
      <c r="O394" s="15" t="s">
        <v>103</v>
      </c>
      <c r="P394" s="15" t="s">
        <v>104</v>
      </c>
      <c r="Q394" s="15"/>
    </row>
    <row r="395" spans="1:17" x14ac:dyDescent="0.25">
      <c r="A395" s="14"/>
      <c r="B395" s="25"/>
      <c r="C395" s="25"/>
      <c r="D395" s="15"/>
      <c r="E395" s="15"/>
      <c r="F395" s="26">
        <f>IFERROR(VLOOKUP(L395,CARTON_LOOKUP!$A:$E,3,0),"")</f>
      </c>
      <c r="G395" s="26">
        <f>IFERROR(VLOOKUP(L395,CARTON_LOOKUP!$A:$E,4,0),"")</f>
      </c>
      <c r="H395" s="26">
        <f>IFERROR(VLOOKUP(L395,CARTON_LOOKUP!$A:$E,5,0),"")</f>
      </c>
      <c r="I395" s="27">
        <f>IFERROR(VLOOKUP(L395,CARTON_LOOKUP!$A:$E,2,0),"")</f>
      </c>
      <c r="J395" s="15" t="s">
        <v>54</v>
      </c>
      <c r="K395" s="28">
        <v>0.21</v>
      </c>
      <c r="L395" s="15" t="s">
        <v>34</v>
      </c>
      <c r="M395" s="15" t="s">
        <v>101</v>
      </c>
      <c r="N395" s="15" t="s">
        <v>102</v>
      </c>
      <c r="O395" s="15" t="s">
        <v>103</v>
      </c>
      <c r="P395" s="15" t="s">
        <v>104</v>
      </c>
      <c r="Q395" s="15"/>
    </row>
    <row r="396" spans="1:17" x14ac:dyDescent="0.25">
      <c r="A396" s="14"/>
      <c r="B396" s="25"/>
      <c r="C396" s="25"/>
      <c r="D396" s="15"/>
      <c r="E396" s="15"/>
      <c r="F396" s="26">
        <f>IFERROR(VLOOKUP(L396,CARTON_LOOKUP!$A:$E,3,0),"")</f>
      </c>
      <c r="G396" s="26">
        <f>IFERROR(VLOOKUP(L396,CARTON_LOOKUP!$A:$E,4,0),"")</f>
      </c>
      <c r="H396" s="26">
        <f>IFERROR(VLOOKUP(L396,CARTON_LOOKUP!$A:$E,5,0),"")</f>
      </c>
      <c r="I396" s="27">
        <f>IFERROR(VLOOKUP(L396,CARTON_LOOKUP!$A:$E,2,0),"")</f>
      </c>
      <c r="J396" s="15" t="s">
        <v>54</v>
      </c>
      <c r="K396" s="28">
        <v>0.21</v>
      </c>
      <c r="L396" s="15" t="s">
        <v>34</v>
      </c>
      <c r="M396" s="15" t="s">
        <v>101</v>
      </c>
      <c r="N396" s="15" t="s">
        <v>102</v>
      </c>
      <c r="O396" s="15" t="s">
        <v>103</v>
      </c>
      <c r="P396" s="15" t="s">
        <v>104</v>
      </c>
      <c r="Q396" s="15"/>
    </row>
    <row r="397" spans="1:17" x14ac:dyDescent="0.25">
      <c r="A397" s="14"/>
      <c r="B397" s="25"/>
      <c r="C397" s="25"/>
      <c r="D397" s="15"/>
      <c r="E397" s="15"/>
      <c r="F397" s="26">
        <f>IFERROR(VLOOKUP(L397,CARTON_LOOKUP!$A:$E,3,0),"")</f>
      </c>
      <c r="G397" s="26">
        <f>IFERROR(VLOOKUP(L397,CARTON_LOOKUP!$A:$E,4,0),"")</f>
      </c>
      <c r="H397" s="26">
        <f>IFERROR(VLOOKUP(L397,CARTON_LOOKUP!$A:$E,5,0),"")</f>
      </c>
      <c r="I397" s="27">
        <f>IFERROR(VLOOKUP(L397,CARTON_LOOKUP!$A:$E,2,0),"")</f>
      </c>
      <c r="J397" s="15" t="s">
        <v>54</v>
      </c>
      <c r="K397" s="28">
        <v>0.21</v>
      </c>
      <c r="L397" s="15" t="s">
        <v>34</v>
      </c>
      <c r="M397" s="15" t="s">
        <v>101</v>
      </c>
      <c r="N397" s="15" t="s">
        <v>102</v>
      </c>
      <c r="O397" s="15" t="s">
        <v>103</v>
      </c>
      <c r="P397" s="15" t="s">
        <v>104</v>
      </c>
      <c r="Q397" s="15"/>
    </row>
    <row r="398" spans="1:17" x14ac:dyDescent="0.25">
      <c r="A398" s="14"/>
      <c r="B398" s="25"/>
      <c r="C398" s="25"/>
      <c r="D398" s="15"/>
      <c r="E398" s="15"/>
      <c r="F398" s="26">
        <f>IFERROR(VLOOKUP(L398,CARTON_LOOKUP!$A:$E,3,0),"")</f>
      </c>
      <c r="G398" s="26">
        <f>IFERROR(VLOOKUP(L398,CARTON_LOOKUP!$A:$E,4,0),"")</f>
      </c>
      <c r="H398" s="26">
        <f>IFERROR(VLOOKUP(L398,CARTON_LOOKUP!$A:$E,5,0),"")</f>
      </c>
      <c r="I398" s="27">
        <f>IFERROR(VLOOKUP(L398,CARTON_LOOKUP!$A:$E,2,0),"")</f>
      </c>
      <c r="J398" s="15" t="s">
        <v>54</v>
      </c>
      <c r="K398" s="28">
        <v>0.21</v>
      </c>
      <c r="L398" s="15" t="s">
        <v>34</v>
      </c>
      <c r="M398" s="15" t="s">
        <v>101</v>
      </c>
      <c r="N398" s="15" t="s">
        <v>102</v>
      </c>
      <c r="O398" s="15" t="s">
        <v>103</v>
      </c>
      <c r="P398" s="15" t="s">
        <v>104</v>
      </c>
      <c r="Q398" s="15"/>
    </row>
    <row r="399" spans="1:17" x14ac:dyDescent="0.25">
      <c r="A399" s="14"/>
      <c r="B399" s="25"/>
      <c r="C399" s="25"/>
      <c r="D399" s="15"/>
      <c r="E399" s="15"/>
      <c r="F399" s="26">
        <f>IFERROR(VLOOKUP(L399,CARTON_LOOKUP!$A:$E,3,0),"")</f>
      </c>
      <c r="G399" s="26">
        <f>IFERROR(VLOOKUP(L399,CARTON_LOOKUP!$A:$E,4,0),"")</f>
      </c>
      <c r="H399" s="26">
        <f>IFERROR(VLOOKUP(L399,CARTON_LOOKUP!$A:$E,5,0),"")</f>
      </c>
      <c r="I399" s="27">
        <f>IFERROR(VLOOKUP(L399,CARTON_LOOKUP!$A:$E,2,0),"")</f>
      </c>
      <c r="J399" s="15" t="s">
        <v>54</v>
      </c>
      <c r="K399" s="28">
        <v>0.21</v>
      </c>
      <c r="L399" s="15" t="s">
        <v>34</v>
      </c>
      <c r="M399" s="15" t="s">
        <v>101</v>
      </c>
      <c r="N399" s="15" t="s">
        <v>102</v>
      </c>
      <c r="O399" s="15" t="s">
        <v>103</v>
      </c>
      <c r="P399" s="15" t="s">
        <v>104</v>
      </c>
      <c r="Q399" s="15"/>
    </row>
    <row r="400" spans="1:17" x14ac:dyDescent="0.25">
      <c r="A400" s="14"/>
      <c r="B400" s="25"/>
      <c r="C400" s="25"/>
      <c r="D400" s="15"/>
      <c r="E400" s="15"/>
      <c r="F400" s="26">
        <f>IFERROR(VLOOKUP(L400,CARTON_LOOKUP!$A:$E,3,0),"")</f>
      </c>
      <c r="G400" s="26">
        <f>IFERROR(VLOOKUP(L400,CARTON_LOOKUP!$A:$E,4,0),"")</f>
      </c>
      <c r="H400" s="26">
        <f>IFERROR(VLOOKUP(L400,CARTON_LOOKUP!$A:$E,5,0),"")</f>
      </c>
      <c r="I400" s="27">
        <f>IFERROR(VLOOKUP(L400,CARTON_LOOKUP!$A:$E,2,0),"")</f>
      </c>
      <c r="J400" s="15" t="s">
        <v>54</v>
      </c>
      <c r="K400" s="28">
        <v>0.21</v>
      </c>
      <c r="L400" s="15" t="s">
        <v>34</v>
      </c>
      <c r="M400" s="15" t="s">
        <v>101</v>
      </c>
      <c r="N400" s="15" t="s">
        <v>102</v>
      </c>
      <c r="O400" s="15" t="s">
        <v>103</v>
      </c>
      <c r="P400" s="15" t="s">
        <v>104</v>
      </c>
      <c r="Q400" s="15"/>
    </row>
    <row r="401" spans="1:17" x14ac:dyDescent="0.25">
      <c r="A401" s="14"/>
      <c r="B401" s="25"/>
      <c r="C401" s="25"/>
      <c r="D401" s="15"/>
      <c r="E401" s="15"/>
      <c r="F401" s="26">
        <f>IFERROR(VLOOKUP(L401,CARTON_LOOKUP!$A:$E,3,0),"")</f>
      </c>
      <c r="G401" s="26">
        <f>IFERROR(VLOOKUP(L401,CARTON_LOOKUP!$A:$E,4,0),"")</f>
      </c>
      <c r="H401" s="26">
        <f>IFERROR(VLOOKUP(L401,CARTON_LOOKUP!$A:$E,5,0),"")</f>
      </c>
      <c r="I401" s="27">
        <f>IFERROR(VLOOKUP(L401,CARTON_LOOKUP!$A:$E,2,0),"")</f>
      </c>
      <c r="J401" s="15" t="s">
        <v>54</v>
      </c>
      <c r="K401" s="28">
        <v>0.21</v>
      </c>
      <c r="L401" s="15" t="s">
        <v>34</v>
      </c>
      <c r="M401" s="15" t="s">
        <v>101</v>
      </c>
      <c r="N401" s="15" t="s">
        <v>102</v>
      </c>
      <c r="O401" s="15" t="s">
        <v>103</v>
      </c>
      <c r="P401" s="15" t="s">
        <v>104</v>
      </c>
      <c r="Q401" s="15"/>
    </row>
    <row r="402" spans="1:17" x14ac:dyDescent="0.25">
      <c r="A402" s="14"/>
      <c r="B402" s="25"/>
      <c r="C402" s="25"/>
      <c r="D402" s="15"/>
      <c r="E402" s="15"/>
      <c r="F402" s="26">
        <f>IFERROR(VLOOKUP(L402,CARTON_LOOKUP!$A:$E,3,0),"")</f>
      </c>
      <c r="G402" s="26">
        <f>IFERROR(VLOOKUP(L402,CARTON_LOOKUP!$A:$E,4,0),"")</f>
      </c>
      <c r="H402" s="26">
        <f>IFERROR(VLOOKUP(L402,CARTON_LOOKUP!$A:$E,5,0),"")</f>
      </c>
      <c r="I402" s="27">
        <f>IFERROR(VLOOKUP(L402,CARTON_LOOKUP!$A:$E,2,0),"")</f>
      </c>
      <c r="J402" s="15" t="s">
        <v>54</v>
      </c>
      <c r="K402" s="28">
        <v>0.21</v>
      </c>
      <c r="L402" s="15" t="s">
        <v>34</v>
      </c>
      <c r="M402" s="15" t="s">
        <v>101</v>
      </c>
      <c r="N402" s="15" t="s">
        <v>102</v>
      </c>
      <c r="O402" s="15" t="s">
        <v>103</v>
      </c>
      <c r="P402" s="15" t="s">
        <v>104</v>
      </c>
      <c r="Q402" s="15"/>
    </row>
    <row r="403" spans="1:17" x14ac:dyDescent="0.25">
      <c r="A403" s="14"/>
      <c r="B403" s="25"/>
      <c r="C403" s="25"/>
      <c r="D403" s="15"/>
      <c r="E403" s="15"/>
      <c r="F403" s="26">
        <f>IFERROR(VLOOKUP(L403,CARTON_LOOKUP!$A:$E,3,0),"")</f>
      </c>
      <c r="G403" s="26">
        <f>IFERROR(VLOOKUP(L403,CARTON_LOOKUP!$A:$E,4,0),"")</f>
      </c>
      <c r="H403" s="26">
        <f>IFERROR(VLOOKUP(L403,CARTON_LOOKUP!$A:$E,5,0),"")</f>
      </c>
      <c r="I403" s="27">
        <f>IFERROR(VLOOKUP(L403,CARTON_LOOKUP!$A:$E,2,0),"")</f>
      </c>
      <c r="J403" s="15" t="s">
        <v>54</v>
      </c>
      <c r="K403" s="28">
        <v>0.21</v>
      </c>
      <c r="L403" s="15" t="s">
        <v>34</v>
      </c>
      <c r="M403" s="15" t="s">
        <v>101</v>
      </c>
      <c r="N403" s="15" t="s">
        <v>102</v>
      </c>
      <c r="O403" s="15" t="s">
        <v>103</v>
      </c>
      <c r="P403" s="15" t="s">
        <v>104</v>
      </c>
      <c r="Q403" s="15"/>
    </row>
    <row r="404" spans="1:17" x14ac:dyDescent="0.25">
      <c r="A404" s="14"/>
      <c r="B404" s="25"/>
      <c r="C404" s="25"/>
      <c r="D404" s="15"/>
      <c r="E404" s="15"/>
      <c r="F404" s="26">
        <f>IFERROR(VLOOKUP(L404,CARTON_LOOKUP!$A:$E,3,0),"")</f>
      </c>
      <c r="G404" s="26">
        <f>IFERROR(VLOOKUP(L404,CARTON_LOOKUP!$A:$E,4,0),"")</f>
      </c>
      <c r="H404" s="26">
        <f>IFERROR(VLOOKUP(L404,CARTON_LOOKUP!$A:$E,5,0),"")</f>
      </c>
      <c r="I404" s="27">
        <f>IFERROR(VLOOKUP(L404,CARTON_LOOKUP!$A:$E,2,0),"")</f>
      </c>
      <c r="J404" s="15" t="s">
        <v>54</v>
      </c>
      <c r="K404" s="28">
        <v>0.21</v>
      </c>
      <c r="L404" s="15" t="s">
        <v>34</v>
      </c>
      <c r="M404" s="15" t="s">
        <v>101</v>
      </c>
      <c r="N404" s="15" t="s">
        <v>102</v>
      </c>
      <c r="O404" s="15" t="s">
        <v>103</v>
      </c>
      <c r="P404" s="15" t="s">
        <v>104</v>
      </c>
      <c r="Q404" s="15"/>
    </row>
    <row r="405" spans="1:17" x14ac:dyDescent="0.25">
      <c r="A405" s="14"/>
      <c r="B405" s="25"/>
      <c r="C405" s="25"/>
      <c r="D405" s="15"/>
      <c r="E405" s="15"/>
      <c r="F405" s="26">
        <f>IFERROR(VLOOKUP(L405,CARTON_LOOKUP!$A:$E,3,0),"")</f>
      </c>
      <c r="G405" s="26">
        <f>IFERROR(VLOOKUP(L405,CARTON_LOOKUP!$A:$E,4,0),"")</f>
      </c>
      <c r="H405" s="26">
        <f>IFERROR(VLOOKUP(L405,CARTON_LOOKUP!$A:$E,5,0),"")</f>
      </c>
      <c r="I405" s="27">
        <f>IFERROR(VLOOKUP(L405,CARTON_LOOKUP!$A:$E,2,0),"")</f>
      </c>
      <c r="J405" s="15" t="s">
        <v>54</v>
      </c>
      <c r="K405" s="28">
        <v>0.21</v>
      </c>
      <c r="L405" s="15" t="s">
        <v>34</v>
      </c>
      <c r="M405" s="15" t="s">
        <v>101</v>
      </c>
      <c r="N405" s="15" t="s">
        <v>102</v>
      </c>
      <c r="O405" s="15" t="s">
        <v>103</v>
      </c>
      <c r="P405" s="15" t="s">
        <v>104</v>
      </c>
      <c r="Q405" s="15"/>
    </row>
    <row r="406" spans="1:17" x14ac:dyDescent="0.25">
      <c r="A406" s="14"/>
      <c r="B406" s="25"/>
      <c r="C406" s="25"/>
      <c r="D406" s="15"/>
      <c r="E406" s="15"/>
      <c r="F406" s="26">
        <f>IFERROR(VLOOKUP(L406,CARTON_LOOKUP!$A:$E,3,0),"")</f>
      </c>
      <c r="G406" s="26">
        <f>IFERROR(VLOOKUP(L406,CARTON_LOOKUP!$A:$E,4,0),"")</f>
      </c>
      <c r="H406" s="26">
        <f>IFERROR(VLOOKUP(L406,CARTON_LOOKUP!$A:$E,5,0),"")</f>
      </c>
      <c r="I406" s="27">
        <f>IFERROR(VLOOKUP(L406,CARTON_LOOKUP!$A:$E,2,0),"")</f>
      </c>
      <c r="J406" s="15" t="s">
        <v>54</v>
      </c>
      <c r="K406" s="28">
        <v>0.21</v>
      </c>
      <c r="L406" s="15" t="s">
        <v>34</v>
      </c>
      <c r="M406" s="15" t="s">
        <v>101</v>
      </c>
      <c r="N406" s="15" t="s">
        <v>102</v>
      </c>
      <c r="O406" s="15" t="s">
        <v>103</v>
      </c>
      <c r="P406" s="15" t="s">
        <v>104</v>
      </c>
      <c r="Q406" s="15"/>
    </row>
    <row r="407" spans="1:17" x14ac:dyDescent="0.25">
      <c r="A407" s="14"/>
      <c r="B407" s="25"/>
      <c r="C407" s="25"/>
      <c r="D407" s="15"/>
      <c r="E407" s="15"/>
      <c r="F407" s="26">
        <f>IFERROR(VLOOKUP(L407,CARTON_LOOKUP!$A:$E,3,0),"")</f>
      </c>
      <c r="G407" s="26">
        <f>IFERROR(VLOOKUP(L407,CARTON_LOOKUP!$A:$E,4,0),"")</f>
      </c>
      <c r="H407" s="26">
        <f>IFERROR(VLOOKUP(L407,CARTON_LOOKUP!$A:$E,5,0),"")</f>
      </c>
      <c r="I407" s="27">
        <f>IFERROR(VLOOKUP(L407,CARTON_LOOKUP!$A:$E,2,0),"")</f>
      </c>
      <c r="J407" s="15" t="s">
        <v>54</v>
      </c>
      <c r="K407" s="28">
        <v>0.21</v>
      </c>
      <c r="L407" s="15" t="s">
        <v>34</v>
      </c>
      <c r="M407" s="15" t="s">
        <v>101</v>
      </c>
      <c r="N407" s="15" t="s">
        <v>102</v>
      </c>
      <c r="O407" s="15" t="s">
        <v>103</v>
      </c>
      <c r="P407" s="15" t="s">
        <v>104</v>
      </c>
      <c r="Q407" s="15"/>
    </row>
    <row r="408" spans="1:17" x14ac:dyDescent="0.25">
      <c r="A408" s="14"/>
      <c r="B408" s="25"/>
      <c r="C408" s="25"/>
      <c r="D408" s="15"/>
      <c r="E408" s="15"/>
      <c r="F408" s="26">
        <f>IFERROR(VLOOKUP(L408,CARTON_LOOKUP!$A:$E,3,0),"")</f>
      </c>
      <c r="G408" s="26">
        <f>IFERROR(VLOOKUP(L408,CARTON_LOOKUP!$A:$E,4,0),"")</f>
      </c>
      <c r="H408" s="26">
        <f>IFERROR(VLOOKUP(L408,CARTON_LOOKUP!$A:$E,5,0),"")</f>
      </c>
      <c r="I408" s="27">
        <f>IFERROR(VLOOKUP(L408,CARTON_LOOKUP!$A:$E,2,0),"")</f>
      </c>
      <c r="J408" s="15" t="s">
        <v>54</v>
      </c>
      <c r="K408" s="28">
        <v>0.21</v>
      </c>
      <c r="L408" s="15" t="s">
        <v>34</v>
      </c>
      <c r="M408" s="15" t="s">
        <v>101</v>
      </c>
      <c r="N408" s="15" t="s">
        <v>102</v>
      </c>
      <c r="O408" s="15" t="s">
        <v>103</v>
      </c>
      <c r="P408" s="15" t="s">
        <v>104</v>
      </c>
      <c r="Q408" s="15"/>
    </row>
    <row r="409" spans="1:17" x14ac:dyDescent="0.25">
      <c r="A409" s="14"/>
      <c r="B409" s="25"/>
      <c r="C409" s="25"/>
      <c r="D409" s="15"/>
      <c r="E409" s="15"/>
      <c r="F409" s="26">
        <f>IFERROR(VLOOKUP(L409,CARTON_LOOKUP!$A:$E,3,0),"")</f>
      </c>
      <c r="G409" s="26">
        <f>IFERROR(VLOOKUP(L409,CARTON_LOOKUP!$A:$E,4,0),"")</f>
      </c>
      <c r="H409" s="26">
        <f>IFERROR(VLOOKUP(L409,CARTON_LOOKUP!$A:$E,5,0),"")</f>
      </c>
      <c r="I409" s="27">
        <f>IFERROR(VLOOKUP(L409,CARTON_LOOKUP!$A:$E,2,0),"")</f>
      </c>
      <c r="J409" s="15" t="s">
        <v>54</v>
      </c>
      <c r="K409" s="28">
        <v>0.21</v>
      </c>
      <c r="L409" s="15" t="s">
        <v>34</v>
      </c>
      <c r="M409" s="15" t="s">
        <v>101</v>
      </c>
      <c r="N409" s="15" t="s">
        <v>102</v>
      </c>
      <c r="O409" s="15" t="s">
        <v>103</v>
      </c>
      <c r="P409" s="15" t="s">
        <v>104</v>
      </c>
      <c r="Q409" s="15"/>
    </row>
    <row r="410" spans="1:17" x14ac:dyDescent="0.25">
      <c r="A410" s="14"/>
      <c r="B410" s="25"/>
      <c r="C410" s="25"/>
      <c r="D410" s="15"/>
      <c r="E410" s="15"/>
      <c r="F410" s="26">
        <f>IFERROR(VLOOKUP(L410,CARTON_LOOKUP!$A:$E,3,0),"")</f>
      </c>
      <c r="G410" s="26">
        <f>IFERROR(VLOOKUP(L410,CARTON_LOOKUP!$A:$E,4,0),"")</f>
      </c>
      <c r="H410" s="26">
        <f>IFERROR(VLOOKUP(L410,CARTON_LOOKUP!$A:$E,5,0),"")</f>
      </c>
      <c r="I410" s="27">
        <f>IFERROR(VLOOKUP(L410,CARTON_LOOKUP!$A:$E,2,0),"")</f>
      </c>
      <c r="J410" s="15" t="s">
        <v>54</v>
      </c>
      <c r="K410" s="28">
        <v>0.21</v>
      </c>
      <c r="L410" s="15" t="s">
        <v>34</v>
      </c>
      <c r="M410" s="15" t="s">
        <v>101</v>
      </c>
      <c r="N410" s="15" t="s">
        <v>102</v>
      </c>
      <c r="O410" s="15" t="s">
        <v>103</v>
      </c>
      <c r="P410" s="15" t="s">
        <v>104</v>
      </c>
      <c r="Q410" s="15"/>
    </row>
    <row r="411" spans="1:17" x14ac:dyDescent="0.25">
      <c r="A411" s="14"/>
      <c r="B411" s="25"/>
      <c r="C411" s="25"/>
      <c r="D411" s="15"/>
      <c r="E411" s="15"/>
      <c r="F411" s="26">
        <f>IFERROR(VLOOKUP(L411,CARTON_LOOKUP!$A:$E,3,0),"")</f>
      </c>
      <c r="G411" s="26">
        <f>IFERROR(VLOOKUP(L411,CARTON_LOOKUP!$A:$E,4,0),"")</f>
      </c>
      <c r="H411" s="26">
        <f>IFERROR(VLOOKUP(L411,CARTON_LOOKUP!$A:$E,5,0),"")</f>
      </c>
      <c r="I411" s="27">
        <f>IFERROR(VLOOKUP(L411,CARTON_LOOKUP!$A:$E,2,0),"")</f>
      </c>
      <c r="J411" s="15" t="s">
        <v>54</v>
      </c>
      <c r="K411" s="28">
        <v>0.21</v>
      </c>
      <c r="L411" s="15" t="s">
        <v>34</v>
      </c>
      <c r="M411" s="15" t="s">
        <v>101</v>
      </c>
      <c r="N411" s="15" t="s">
        <v>102</v>
      </c>
      <c r="O411" s="15" t="s">
        <v>103</v>
      </c>
      <c r="P411" s="15" t="s">
        <v>104</v>
      </c>
      <c r="Q411" s="15"/>
    </row>
    <row r="412" spans="1:17" x14ac:dyDescent="0.25">
      <c r="A412" s="14"/>
      <c r="B412" s="25"/>
      <c r="C412" s="25"/>
      <c r="D412" s="15"/>
      <c r="E412" s="15"/>
      <c r="F412" s="26">
        <f>IFERROR(VLOOKUP(L412,CARTON_LOOKUP!$A:$E,3,0),"")</f>
      </c>
      <c r="G412" s="26">
        <f>IFERROR(VLOOKUP(L412,CARTON_LOOKUP!$A:$E,4,0),"")</f>
      </c>
      <c r="H412" s="26">
        <f>IFERROR(VLOOKUP(L412,CARTON_LOOKUP!$A:$E,5,0),"")</f>
      </c>
      <c r="I412" s="27">
        <f>IFERROR(VLOOKUP(L412,CARTON_LOOKUP!$A:$E,2,0),"")</f>
      </c>
      <c r="J412" s="15" t="s">
        <v>54</v>
      </c>
      <c r="K412" s="28">
        <v>0.21</v>
      </c>
      <c r="L412" s="15" t="s">
        <v>34</v>
      </c>
      <c r="M412" s="15" t="s">
        <v>101</v>
      </c>
      <c r="N412" s="15" t="s">
        <v>102</v>
      </c>
      <c r="O412" s="15" t="s">
        <v>103</v>
      </c>
      <c r="P412" s="15" t="s">
        <v>104</v>
      </c>
      <c r="Q412" s="15"/>
    </row>
    <row r="413" spans="1:17" x14ac:dyDescent="0.25">
      <c r="A413" s="14"/>
      <c r="B413" s="25"/>
      <c r="C413" s="25"/>
      <c r="D413" s="15"/>
      <c r="E413" s="15"/>
      <c r="F413" s="26">
        <f>IFERROR(VLOOKUP(L413,CARTON_LOOKUP!$A:$E,3,0),"")</f>
      </c>
      <c r="G413" s="26">
        <f>IFERROR(VLOOKUP(L413,CARTON_LOOKUP!$A:$E,4,0),"")</f>
      </c>
      <c r="H413" s="26">
        <f>IFERROR(VLOOKUP(L413,CARTON_LOOKUP!$A:$E,5,0),"")</f>
      </c>
      <c r="I413" s="27">
        <f>IFERROR(VLOOKUP(L413,CARTON_LOOKUP!$A:$E,2,0),"")</f>
      </c>
      <c r="J413" s="15" t="s">
        <v>54</v>
      </c>
      <c r="K413" s="28">
        <v>0.21</v>
      </c>
      <c r="L413" s="15" t="s">
        <v>34</v>
      </c>
      <c r="M413" s="15" t="s">
        <v>101</v>
      </c>
      <c r="N413" s="15" t="s">
        <v>102</v>
      </c>
      <c r="O413" s="15" t="s">
        <v>103</v>
      </c>
      <c r="P413" s="15" t="s">
        <v>104</v>
      </c>
      <c r="Q413" s="15"/>
    </row>
    <row r="414" spans="1:17" x14ac:dyDescent="0.25">
      <c r="A414" s="14"/>
      <c r="B414" s="25"/>
      <c r="C414" s="25"/>
      <c r="D414" s="15"/>
      <c r="E414" s="15"/>
      <c r="F414" s="26">
        <f>IFERROR(VLOOKUP(L414,CARTON_LOOKUP!$A:$E,3,0),"")</f>
      </c>
      <c r="G414" s="26">
        <f>IFERROR(VLOOKUP(L414,CARTON_LOOKUP!$A:$E,4,0),"")</f>
      </c>
      <c r="H414" s="26">
        <f>IFERROR(VLOOKUP(L414,CARTON_LOOKUP!$A:$E,5,0),"")</f>
      </c>
      <c r="I414" s="27">
        <f>IFERROR(VLOOKUP(L414,CARTON_LOOKUP!$A:$E,2,0),"")</f>
      </c>
      <c r="J414" s="15" t="s">
        <v>54</v>
      </c>
      <c r="K414" s="28">
        <v>0.21</v>
      </c>
      <c r="L414" s="15" t="s">
        <v>34</v>
      </c>
      <c r="M414" s="15" t="s">
        <v>101</v>
      </c>
      <c r="N414" s="15" t="s">
        <v>102</v>
      </c>
      <c r="O414" s="15" t="s">
        <v>103</v>
      </c>
      <c r="P414" s="15" t="s">
        <v>104</v>
      </c>
      <c r="Q414" s="15"/>
    </row>
    <row r="415" spans="1:17" x14ac:dyDescent="0.25">
      <c r="A415" s="14"/>
      <c r="B415" s="25"/>
      <c r="C415" s="25"/>
      <c r="D415" s="15"/>
      <c r="E415" s="15"/>
      <c r="F415" s="26">
        <f>IFERROR(VLOOKUP(L415,CARTON_LOOKUP!$A:$E,3,0),"")</f>
      </c>
      <c r="G415" s="26">
        <f>IFERROR(VLOOKUP(L415,CARTON_LOOKUP!$A:$E,4,0),"")</f>
      </c>
      <c r="H415" s="26">
        <f>IFERROR(VLOOKUP(L415,CARTON_LOOKUP!$A:$E,5,0),"")</f>
      </c>
      <c r="I415" s="27">
        <f>IFERROR(VLOOKUP(L415,CARTON_LOOKUP!$A:$E,2,0),"")</f>
      </c>
      <c r="J415" s="15" t="s">
        <v>54</v>
      </c>
      <c r="K415" s="28">
        <v>0.21</v>
      </c>
      <c r="L415" s="15" t="s">
        <v>34</v>
      </c>
      <c r="M415" s="15" t="s">
        <v>101</v>
      </c>
      <c r="N415" s="15" t="s">
        <v>102</v>
      </c>
      <c r="O415" s="15" t="s">
        <v>103</v>
      </c>
      <c r="P415" s="15" t="s">
        <v>104</v>
      </c>
      <c r="Q415" s="15"/>
    </row>
    <row r="416" spans="1:17" x14ac:dyDescent="0.25">
      <c r="A416" s="14"/>
      <c r="B416" s="25"/>
      <c r="C416" s="25"/>
      <c r="D416" s="15"/>
      <c r="E416" s="15"/>
      <c r="F416" s="26">
        <f>IFERROR(VLOOKUP(L416,CARTON_LOOKUP!$A:$E,3,0),"")</f>
      </c>
      <c r="G416" s="26">
        <f>IFERROR(VLOOKUP(L416,CARTON_LOOKUP!$A:$E,4,0),"")</f>
      </c>
      <c r="H416" s="26">
        <f>IFERROR(VLOOKUP(L416,CARTON_LOOKUP!$A:$E,5,0),"")</f>
      </c>
      <c r="I416" s="27">
        <f>IFERROR(VLOOKUP(L416,CARTON_LOOKUP!$A:$E,2,0),"")</f>
      </c>
      <c r="J416" s="15" t="s">
        <v>54</v>
      </c>
      <c r="K416" s="28">
        <v>0.21</v>
      </c>
      <c r="L416" s="15" t="s">
        <v>34</v>
      </c>
      <c r="M416" s="15" t="s">
        <v>101</v>
      </c>
      <c r="N416" s="15" t="s">
        <v>102</v>
      </c>
      <c r="O416" s="15" t="s">
        <v>103</v>
      </c>
      <c r="P416" s="15" t="s">
        <v>104</v>
      </c>
      <c r="Q416" s="15"/>
    </row>
    <row r="417" spans="1:17" x14ac:dyDescent="0.25">
      <c r="A417" s="14"/>
      <c r="B417" s="25"/>
      <c r="C417" s="25"/>
      <c r="D417" s="15"/>
      <c r="E417" s="15"/>
      <c r="F417" s="26">
        <f>IFERROR(VLOOKUP(L417,CARTON_LOOKUP!$A:$E,3,0),"")</f>
      </c>
      <c r="G417" s="26">
        <f>IFERROR(VLOOKUP(L417,CARTON_LOOKUP!$A:$E,4,0),"")</f>
      </c>
      <c r="H417" s="26">
        <f>IFERROR(VLOOKUP(L417,CARTON_LOOKUP!$A:$E,5,0),"")</f>
      </c>
      <c r="I417" s="27">
        <f>IFERROR(VLOOKUP(L417,CARTON_LOOKUP!$A:$E,2,0),"")</f>
      </c>
      <c r="J417" s="15" t="s">
        <v>54</v>
      </c>
      <c r="K417" s="28">
        <v>0.21</v>
      </c>
      <c r="L417" s="15" t="s">
        <v>34</v>
      </c>
      <c r="M417" s="15" t="s">
        <v>101</v>
      </c>
      <c r="N417" s="15" t="s">
        <v>102</v>
      </c>
      <c r="O417" s="15" t="s">
        <v>103</v>
      </c>
      <c r="P417" s="15" t="s">
        <v>104</v>
      </c>
      <c r="Q417" s="15"/>
    </row>
    <row r="418" spans="1:17" x14ac:dyDescent="0.25">
      <c r="A418" s="14"/>
      <c r="B418" s="25"/>
      <c r="C418" s="25"/>
      <c r="D418" s="15"/>
      <c r="E418" s="15"/>
      <c r="F418" s="26">
        <f>IFERROR(VLOOKUP(L418,CARTON_LOOKUP!$A:$E,3,0),"")</f>
      </c>
      <c r="G418" s="26">
        <f>IFERROR(VLOOKUP(L418,CARTON_LOOKUP!$A:$E,4,0),"")</f>
      </c>
      <c r="H418" s="26">
        <f>IFERROR(VLOOKUP(L418,CARTON_LOOKUP!$A:$E,5,0),"")</f>
      </c>
      <c r="I418" s="27">
        <f>IFERROR(VLOOKUP(L418,CARTON_LOOKUP!$A:$E,2,0),"")</f>
      </c>
      <c r="J418" s="15" t="s">
        <v>54</v>
      </c>
      <c r="K418" s="28">
        <v>0.21</v>
      </c>
      <c r="L418" s="15" t="s">
        <v>34</v>
      </c>
      <c r="M418" s="15" t="s">
        <v>101</v>
      </c>
      <c r="N418" s="15" t="s">
        <v>102</v>
      </c>
      <c r="O418" s="15" t="s">
        <v>103</v>
      </c>
      <c r="P418" s="15" t="s">
        <v>104</v>
      </c>
      <c r="Q418" s="15"/>
    </row>
    <row r="419" spans="1:17" x14ac:dyDescent="0.25">
      <c r="A419" s="14"/>
      <c r="B419" s="25"/>
      <c r="C419" s="25"/>
      <c r="D419" s="15"/>
      <c r="E419" s="15"/>
      <c r="F419" s="26">
        <f>IFERROR(VLOOKUP(L419,CARTON_LOOKUP!$A:$E,3,0),"")</f>
      </c>
      <c r="G419" s="26">
        <f>IFERROR(VLOOKUP(L419,CARTON_LOOKUP!$A:$E,4,0),"")</f>
      </c>
      <c r="H419" s="26">
        <f>IFERROR(VLOOKUP(L419,CARTON_LOOKUP!$A:$E,5,0),"")</f>
      </c>
      <c r="I419" s="27">
        <f>IFERROR(VLOOKUP(L419,CARTON_LOOKUP!$A:$E,2,0),"")</f>
      </c>
      <c r="J419" s="15" t="s">
        <v>54</v>
      </c>
      <c r="K419" s="28">
        <v>0.21</v>
      </c>
      <c r="L419" s="15" t="s">
        <v>34</v>
      </c>
      <c r="M419" s="15" t="s">
        <v>101</v>
      </c>
      <c r="N419" s="15" t="s">
        <v>102</v>
      </c>
      <c r="O419" s="15" t="s">
        <v>103</v>
      </c>
      <c r="P419" s="15" t="s">
        <v>104</v>
      </c>
      <c r="Q419" s="15"/>
    </row>
    <row r="420" spans="1:17" x14ac:dyDescent="0.25">
      <c r="A420" s="14"/>
      <c r="B420" s="25"/>
      <c r="C420" s="25"/>
      <c r="D420" s="15"/>
      <c r="E420" s="15"/>
      <c r="F420" s="26">
        <f>IFERROR(VLOOKUP(L420,CARTON_LOOKUP!$A:$E,3,0),"")</f>
      </c>
      <c r="G420" s="26">
        <f>IFERROR(VLOOKUP(L420,CARTON_LOOKUP!$A:$E,4,0),"")</f>
      </c>
      <c r="H420" s="26">
        <f>IFERROR(VLOOKUP(L420,CARTON_LOOKUP!$A:$E,5,0),"")</f>
      </c>
      <c r="I420" s="27">
        <f>IFERROR(VLOOKUP(L420,CARTON_LOOKUP!$A:$E,2,0),"")</f>
      </c>
      <c r="J420" s="15" t="s">
        <v>54</v>
      </c>
      <c r="K420" s="28">
        <v>0.21</v>
      </c>
      <c r="L420" s="15" t="s">
        <v>34</v>
      </c>
      <c r="M420" s="15" t="s">
        <v>101</v>
      </c>
      <c r="N420" s="15" t="s">
        <v>102</v>
      </c>
      <c r="O420" s="15" t="s">
        <v>103</v>
      </c>
      <c r="P420" s="15" t="s">
        <v>104</v>
      </c>
      <c r="Q420" s="15"/>
    </row>
    <row r="421" spans="1:17" x14ac:dyDescent="0.25">
      <c r="A421" s="14"/>
      <c r="B421" s="25"/>
      <c r="C421" s="25"/>
      <c r="D421" s="15"/>
      <c r="E421" s="15"/>
      <c r="F421" s="26">
        <f>IFERROR(VLOOKUP(L421,CARTON_LOOKUP!$A:$E,3,0),"")</f>
      </c>
      <c r="G421" s="26">
        <f>IFERROR(VLOOKUP(L421,CARTON_LOOKUP!$A:$E,4,0),"")</f>
      </c>
      <c r="H421" s="26">
        <f>IFERROR(VLOOKUP(L421,CARTON_LOOKUP!$A:$E,5,0),"")</f>
      </c>
      <c r="I421" s="27">
        <f>IFERROR(VLOOKUP(L421,CARTON_LOOKUP!$A:$E,2,0),"")</f>
      </c>
      <c r="J421" s="15" t="s">
        <v>54</v>
      </c>
      <c r="K421" s="28">
        <v>0.21</v>
      </c>
      <c r="L421" s="15" t="s">
        <v>34</v>
      </c>
      <c r="M421" s="15" t="s">
        <v>101</v>
      </c>
      <c r="N421" s="15" t="s">
        <v>102</v>
      </c>
      <c r="O421" s="15" t="s">
        <v>103</v>
      </c>
      <c r="P421" s="15" t="s">
        <v>104</v>
      </c>
      <c r="Q421" s="15"/>
    </row>
    <row r="422" spans="1:17" x14ac:dyDescent="0.25">
      <c r="A422" s="14"/>
      <c r="B422" s="25"/>
      <c r="C422" s="25"/>
      <c r="D422" s="15"/>
      <c r="E422" s="15"/>
      <c r="F422" s="26">
        <f>IFERROR(VLOOKUP(L422,CARTON_LOOKUP!$A:$E,3,0),"")</f>
      </c>
      <c r="G422" s="26">
        <f>IFERROR(VLOOKUP(L422,CARTON_LOOKUP!$A:$E,4,0),"")</f>
      </c>
      <c r="H422" s="26">
        <f>IFERROR(VLOOKUP(L422,CARTON_LOOKUP!$A:$E,5,0),"")</f>
      </c>
      <c r="I422" s="27">
        <f>IFERROR(VLOOKUP(L422,CARTON_LOOKUP!$A:$E,2,0),"")</f>
      </c>
      <c r="J422" s="15" t="s">
        <v>54</v>
      </c>
      <c r="K422" s="28">
        <v>0.21</v>
      </c>
      <c r="L422" s="15" t="s">
        <v>34</v>
      </c>
      <c r="M422" s="15" t="s">
        <v>101</v>
      </c>
      <c r="N422" s="15" t="s">
        <v>102</v>
      </c>
      <c r="O422" s="15" t="s">
        <v>103</v>
      </c>
      <c r="P422" s="15" t="s">
        <v>104</v>
      </c>
      <c r="Q422" s="15"/>
    </row>
    <row r="423" spans="1:17" x14ac:dyDescent="0.25">
      <c r="A423" s="14"/>
      <c r="B423" s="25"/>
      <c r="C423" s="25"/>
      <c r="D423" s="15"/>
      <c r="E423" s="15"/>
      <c r="F423" s="26">
        <f>IFERROR(VLOOKUP(L423,CARTON_LOOKUP!$A:$E,3,0),"")</f>
      </c>
      <c r="G423" s="26">
        <f>IFERROR(VLOOKUP(L423,CARTON_LOOKUP!$A:$E,4,0),"")</f>
      </c>
      <c r="H423" s="26">
        <f>IFERROR(VLOOKUP(L423,CARTON_LOOKUP!$A:$E,5,0),"")</f>
      </c>
      <c r="I423" s="27">
        <f>IFERROR(VLOOKUP(L423,CARTON_LOOKUP!$A:$E,2,0),"")</f>
      </c>
      <c r="J423" s="15" t="s">
        <v>54</v>
      </c>
      <c r="K423" s="28">
        <v>0.21</v>
      </c>
      <c r="L423" s="15" t="s">
        <v>34</v>
      </c>
      <c r="M423" s="15" t="s">
        <v>101</v>
      </c>
      <c r="N423" s="15" t="s">
        <v>102</v>
      </c>
      <c r="O423" s="15" t="s">
        <v>103</v>
      </c>
      <c r="P423" s="15" t="s">
        <v>104</v>
      </c>
      <c r="Q423" s="15"/>
    </row>
    <row r="424" spans="1:17" x14ac:dyDescent="0.25">
      <c r="A424" s="14"/>
      <c r="B424" s="25"/>
      <c r="C424" s="25"/>
      <c r="D424" s="15"/>
      <c r="E424" s="15"/>
      <c r="F424" s="26">
        <f>IFERROR(VLOOKUP(L424,CARTON_LOOKUP!$A:$E,3,0),"")</f>
      </c>
      <c r="G424" s="26">
        <f>IFERROR(VLOOKUP(L424,CARTON_LOOKUP!$A:$E,4,0),"")</f>
      </c>
      <c r="H424" s="26">
        <f>IFERROR(VLOOKUP(L424,CARTON_LOOKUP!$A:$E,5,0),"")</f>
      </c>
      <c r="I424" s="27">
        <f>IFERROR(VLOOKUP(L424,CARTON_LOOKUP!$A:$E,2,0),"")</f>
      </c>
      <c r="J424" s="15" t="s">
        <v>54</v>
      </c>
      <c r="K424" s="28">
        <v>0.21</v>
      </c>
      <c r="L424" s="15" t="s">
        <v>34</v>
      </c>
      <c r="M424" s="15" t="s">
        <v>101</v>
      </c>
      <c r="N424" s="15" t="s">
        <v>102</v>
      </c>
      <c r="O424" s="15" t="s">
        <v>103</v>
      </c>
      <c r="P424" s="15" t="s">
        <v>104</v>
      </c>
      <c r="Q424" s="15"/>
    </row>
    <row r="425" spans="1:17" x14ac:dyDescent="0.25">
      <c r="A425" s="14"/>
      <c r="B425" s="25"/>
      <c r="C425" s="25"/>
      <c r="D425" s="15"/>
      <c r="E425" s="15"/>
      <c r="F425" s="26">
        <f>IFERROR(VLOOKUP(L425,CARTON_LOOKUP!$A:$E,3,0),"")</f>
      </c>
      <c r="G425" s="26">
        <f>IFERROR(VLOOKUP(L425,CARTON_LOOKUP!$A:$E,4,0),"")</f>
      </c>
      <c r="H425" s="26">
        <f>IFERROR(VLOOKUP(L425,CARTON_LOOKUP!$A:$E,5,0),"")</f>
      </c>
      <c r="I425" s="27">
        <f>IFERROR(VLOOKUP(L425,CARTON_LOOKUP!$A:$E,2,0),"")</f>
      </c>
      <c r="J425" s="15" t="s">
        <v>54</v>
      </c>
      <c r="K425" s="28">
        <v>0.21</v>
      </c>
      <c r="L425" s="15" t="s">
        <v>34</v>
      </c>
      <c r="M425" s="15" t="s">
        <v>101</v>
      </c>
      <c r="N425" s="15" t="s">
        <v>102</v>
      </c>
      <c r="O425" s="15" t="s">
        <v>103</v>
      </c>
      <c r="P425" s="15" t="s">
        <v>104</v>
      </c>
      <c r="Q425" s="15"/>
    </row>
    <row r="426" spans="1:17" x14ac:dyDescent="0.25">
      <c r="A426" s="14"/>
      <c r="B426" s="25"/>
      <c r="C426" s="25"/>
      <c r="D426" s="15"/>
      <c r="E426" s="15"/>
      <c r="F426" s="26">
        <f>IFERROR(VLOOKUP(L426,CARTON_LOOKUP!$A:$E,3,0),"")</f>
      </c>
      <c r="G426" s="26">
        <f>IFERROR(VLOOKUP(L426,CARTON_LOOKUP!$A:$E,4,0),"")</f>
      </c>
      <c r="H426" s="26">
        <f>IFERROR(VLOOKUP(L426,CARTON_LOOKUP!$A:$E,5,0),"")</f>
      </c>
      <c r="I426" s="27">
        <f>IFERROR(VLOOKUP(L426,CARTON_LOOKUP!$A:$E,2,0),"")</f>
      </c>
      <c r="J426" s="15" t="s">
        <v>54</v>
      </c>
      <c r="K426" s="28">
        <v>0.21</v>
      </c>
      <c r="L426" s="15" t="s">
        <v>34</v>
      </c>
      <c r="M426" s="15" t="s">
        <v>101</v>
      </c>
      <c r="N426" s="15" t="s">
        <v>102</v>
      </c>
      <c r="O426" s="15" t="s">
        <v>103</v>
      </c>
      <c r="P426" s="15" t="s">
        <v>104</v>
      </c>
      <c r="Q426" s="15"/>
    </row>
    <row r="427" spans="1:17" x14ac:dyDescent="0.25">
      <c r="A427" s="14"/>
      <c r="B427" s="25"/>
      <c r="C427" s="25"/>
      <c r="D427" s="15"/>
      <c r="E427" s="15"/>
      <c r="F427" s="26">
        <f>IFERROR(VLOOKUP(L427,CARTON_LOOKUP!$A:$E,3,0),"")</f>
      </c>
      <c r="G427" s="26">
        <f>IFERROR(VLOOKUP(L427,CARTON_LOOKUP!$A:$E,4,0),"")</f>
      </c>
      <c r="H427" s="26">
        <f>IFERROR(VLOOKUP(L427,CARTON_LOOKUP!$A:$E,5,0),"")</f>
      </c>
      <c r="I427" s="27">
        <f>IFERROR(VLOOKUP(L427,CARTON_LOOKUP!$A:$E,2,0),"")</f>
      </c>
      <c r="J427" s="15" t="s">
        <v>54</v>
      </c>
      <c r="K427" s="28">
        <v>0.21</v>
      </c>
      <c r="L427" s="15" t="s">
        <v>34</v>
      </c>
      <c r="M427" s="15" t="s">
        <v>101</v>
      </c>
      <c r="N427" s="15" t="s">
        <v>102</v>
      </c>
      <c r="O427" s="15" t="s">
        <v>103</v>
      </c>
      <c r="P427" s="15" t="s">
        <v>104</v>
      </c>
      <c r="Q427" s="15"/>
    </row>
    <row r="428" spans="1:17" x14ac:dyDescent="0.25">
      <c r="A428" s="14"/>
      <c r="B428" s="25"/>
      <c r="C428" s="25"/>
      <c r="D428" s="15"/>
      <c r="E428" s="15"/>
      <c r="F428" s="26">
        <f>IFERROR(VLOOKUP(L428,CARTON_LOOKUP!$A:$E,3,0),"")</f>
      </c>
      <c r="G428" s="26">
        <f>IFERROR(VLOOKUP(L428,CARTON_LOOKUP!$A:$E,4,0),"")</f>
      </c>
      <c r="H428" s="26">
        <f>IFERROR(VLOOKUP(L428,CARTON_LOOKUP!$A:$E,5,0),"")</f>
      </c>
      <c r="I428" s="27">
        <f>IFERROR(VLOOKUP(L428,CARTON_LOOKUP!$A:$E,2,0),"")</f>
      </c>
      <c r="J428" s="15" t="s">
        <v>54</v>
      </c>
      <c r="K428" s="28">
        <v>0.21</v>
      </c>
      <c r="L428" s="15" t="s">
        <v>34</v>
      </c>
      <c r="M428" s="15" t="s">
        <v>101</v>
      </c>
      <c r="N428" s="15" t="s">
        <v>102</v>
      </c>
      <c r="O428" s="15" t="s">
        <v>103</v>
      </c>
      <c r="P428" s="15" t="s">
        <v>104</v>
      </c>
      <c r="Q428" s="15"/>
    </row>
    <row r="429" spans="1:17" x14ac:dyDescent="0.25">
      <c r="A429" s="14"/>
      <c r="B429" s="25"/>
      <c r="C429" s="25"/>
      <c r="D429" s="15"/>
      <c r="E429" s="15"/>
      <c r="F429" s="26">
        <f>IFERROR(VLOOKUP(L429,CARTON_LOOKUP!$A:$E,3,0),"")</f>
      </c>
      <c r="G429" s="26">
        <f>IFERROR(VLOOKUP(L429,CARTON_LOOKUP!$A:$E,4,0),"")</f>
      </c>
      <c r="H429" s="26">
        <f>IFERROR(VLOOKUP(L429,CARTON_LOOKUP!$A:$E,5,0),"")</f>
      </c>
      <c r="I429" s="27">
        <f>IFERROR(VLOOKUP(L429,CARTON_LOOKUP!$A:$E,2,0),"")</f>
      </c>
      <c r="J429" s="15" t="s">
        <v>54</v>
      </c>
      <c r="K429" s="28">
        <v>0.21</v>
      </c>
      <c r="L429" s="15" t="s">
        <v>34</v>
      </c>
      <c r="M429" s="15" t="s">
        <v>101</v>
      </c>
      <c r="N429" s="15" t="s">
        <v>102</v>
      </c>
      <c r="O429" s="15" t="s">
        <v>103</v>
      </c>
      <c r="P429" s="15" t="s">
        <v>104</v>
      </c>
      <c r="Q429" s="15"/>
    </row>
    <row r="430" spans="1:17" x14ac:dyDescent="0.25">
      <c r="A430" s="14"/>
      <c r="B430" s="25"/>
      <c r="C430" s="25"/>
      <c r="D430" s="15"/>
      <c r="E430" s="15"/>
      <c r="F430" s="26">
        <f>IFERROR(VLOOKUP(L430,CARTON_LOOKUP!$A:$E,3,0),"")</f>
      </c>
      <c r="G430" s="26">
        <f>IFERROR(VLOOKUP(L430,CARTON_LOOKUP!$A:$E,4,0),"")</f>
      </c>
      <c r="H430" s="26">
        <f>IFERROR(VLOOKUP(L430,CARTON_LOOKUP!$A:$E,5,0),"")</f>
      </c>
      <c r="I430" s="27">
        <f>IFERROR(VLOOKUP(L430,CARTON_LOOKUP!$A:$E,2,0),"")</f>
      </c>
      <c r="J430" s="15" t="s">
        <v>54</v>
      </c>
      <c r="K430" s="28">
        <v>0.21</v>
      </c>
      <c r="L430" s="15" t="s">
        <v>34</v>
      </c>
      <c r="M430" s="15" t="s">
        <v>101</v>
      </c>
      <c r="N430" s="15" t="s">
        <v>102</v>
      </c>
      <c r="O430" s="15" t="s">
        <v>103</v>
      </c>
      <c r="P430" s="15" t="s">
        <v>104</v>
      </c>
      <c r="Q430" s="15"/>
    </row>
    <row r="431" spans="1:17" x14ac:dyDescent="0.25">
      <c r="A431" s="14"/>
      <c r="B431" s="25"/>
      <c r="C431" s="25"/>
      <c r="D431" s="15"/>
      <c r="E431" s="15"/>
      <c r="F431" s="26">
        <f>IFERROR(VLOOKUP(L431,CARTON_LOOKUP!$A:$E,3,0),"")</f>
      </c>
      <c r="G431" s="26">
        <f>IFERROR(VLOOKUP(L431,CARTON_LOOKUP!$A:$E,4,0),"")</f>
      </c>
      <c r="H431" s="26">
        <f>IFERROR(VLOOKUP(L431,CARTON_LOOKUP!$A:$E,5,0),"")</f>
      </c>
      <c r="I431" s="27">
        <f>IFERROR(VLOOKUP(L431,CARTON_LOOKUP!$A:$E,2,0),"")</f>
      </c>
      <c r="J431" s="15" t="s">
        <v>54</v>
      </c>
      <c r="K431" s="28">
        <v>0.21</v>
      </c>
      <c r="L431" s="15" t="s">
        <v>34</v>
      </c>
      <c r="M431" s="15" t="s">
        <v>101</v>
      </c>
      <c r="N431" s="15" t="s">
        <v>102</v>
      </c>
      <c r="O431" s="15" t="s">
        <v>103</v>
      </c>
      <c r="P431" s="15" t="s">
        <v>104</v>
      </c>
      <c r="Q431" s="15"/>
    </row>
    <row r="432" spans="1:17" x14ac:dyDescent="0.25">
      <c r="A432" s="14"/>
      <c r="B432" s="25"/>
      <c r="C432" s="25"/>
      <c r="D432" s="15"/>
      <c r="E432" s="15"/>
      <c r="F432" s="26">
        <f>IFERROR(VLOOKUP(L432,CARTON_LOOKUP!$A:$E,3,0),"")</f>
      </c>
      <c r="G432" s="26">
        <f>IFERROR(VLOOKUP(L432,CARTON_LOOKUP!$A:$E,4,0),"")</f>
      </c>
      <c r="H432" s="26">
        <f>IFERROR(VLOOKUP(L432,CARTON_LOOKUP!$A:$E,5,0),"")</f>
      </c>
      <c r="I432" s="27">
        <f>IFERROR(VLOOKUP(L432,CARTON_LOOKUP!$A:$E,2,0),"")</f>
      </c>
      <c r="J432" s="15" t="s">
        <v>54</v>
      </c>
      <c r="K432" s="28">
        <v>0.21</v>
      </c>
      <c r="L432" s="15" t="s">
        <v>34</v>
      </c>
      <c r="M432" s="15" t="s">
        <v>101</v>
      </c>
      <c r="N432" s="15" t="s">
        <v>102</v>
      </c>
      <c r="O432" s="15" t="s">
        <v>103</v>
      </c>
      <c r="P432" s="15" t="s">
        <v>104</v>
      </c>
      <c r="Q432" s="15"/>
    </row>
    <row r="433" spans="1:17" x14ac:dyDescent="0.25">
      <c r="A433" s="14"/>
      <c r="B433" s="25"/>
      <c r="C433" s="25"/>
      <c r="D433" s="15"/>
      <c r="E433" s="15"/>
      <c r="F433" s="26">
        <f>IFERROR(VLOOKUP(L433,CARTON_LOOKUP!$A:$E,3,0),"")</f>
      </c>
      <c r="G433" s="26">
        <f>IFERROR(VLOOKUP(L433,CARTON_LOOKUP!$A:$E,4,0),"")</f>
      </c>
      <c r="H433" s="26">
        <f>IFERROR(VLOOKUP(L433,CARTON_LOOKUP!$A:$E,5,0),"")</f>
      </c>
      <c r="I433" s="27">
        <f>IFERROR(VLOOKUP(L433,CARTON_LOOKUP!$A:$E,2,0),"")</f>
      </c>
      <c r="J433" s="15" t="s">
        <v>54</v>
      </c>
      <c r="K433" s="28">
        <v>0.21</v>
      </c>
      <c r="L433" s="15" t="s">
        <v>34</v>
      </c>
      <c r="M433" s="15" t="s">
        <v>101</v>
      </c>
      <c r="N433" s="15" t="s">
        <v>102</v>
      </c>
      <c r="O433" s="15" t="s">
        <v>103</v>
      </c>
      <c r="P433" s="15" t="s">
        <v>104</v>
      </c>
      <c r="Q433" s="15"/>
    </row>
    <row r="434" spans="1:17" x14ac:dyDescent="0.25">
      <c r="A434" s="14"/>
      <c r="B434" s="25"/>
      <c r="C434" s="25"/>
      <c r="D434" s="15"/>
      <c r="E434" s="15"/>
      <c r="F434" s="26">
        <f>IFERROR(VLOOKUP(L434,CARTON_LOOKUP!$A:$E,3,0),"")</f>
      </c>
      <c r="G434" s="26">
        <f>IFERROR(VLOOKUP(L434,CARTON_LOOKUP!$A:$E,4,0),"")</f>
      </c>
      <c r="H434" s="26">
        <f>IFERROR(VLOOKUP(L434,CARTON_LOOKUP!$A:$E,5,0),"")</f>
      </c>
      <c r="I434" s="27">
        <f>IFERROR(VLOOKUP(L434,CARTON_LOOKUP!$A:$E,2,0),"")</f>
      </c>
      <c r="J434" s="15" t="s">
        <v>54</v>
      </c>
      <c r="K434" s="28">
        <v>0.21</v>
      </c>
      <c r="L434" s="15" t="s">
        <v>34</v>
      </c>
      <c r="M434" s="15" t="s">
        <v>101</v>
      </c>
      <c r="N434" s="15" t="s">
        <v>102</v>
      </c>
      <c r="O434" s="15" t="s">
        <v>103</v>
      </c>
      <c r="P434" s="15" t="s">
        <v>104</v>
      </c>
      <c r="Q434" s="15"/>
    </row>
    <row r="435" spans="1:17" x14ac:dyDescent="0.25">
      <c r="A435" s="14"/>
      <c r="B435" s="25"/>
      <c r="C435" s="25"/>
      <c r="D435" s="15"/>
      <c r="E435" s="15"/>
      <c r="F435" s="26">
        <f>IFERROR(VLOOKUP(L435,CARTON_LOOKUP!$A:$E,3,0),"")</f>
      </c>
      <c r="G435" s="26">
        <f>IFERROR(VLOOKUP(L435,CARTON_LOOKUP!$A:$E,4,0),"")</f>
      </c>
      <c r="H435" s="26">
        <f>IFERROR(VLOOKUP(L435,CARTON_LOOKUP!$A:$E,5,0),"")</f>
      </c>
      <c r="I435" s="27">
        <f>IFERROR(VLOOKUP(L435,CARTON_LOOKUP!$A:$E,2,0),"")</f>
      </c>
      <c r="J435" s="15" t="s">
        <v>54</v>
      </c>
      <c r="K435" s="28">
        <v>0.21</v>
      </c>
      <c r="L435" s="15" t="s">
        <v>34</v>
      </c>
      <c r="M435" s="15" t="s">
        <v>101</v>
      </c>
      <c r="N435" s="15" t="s">
        <v>102</v>
      </c>
      <c r="O435" s="15" t="s">
        <v>103</v>
      </c>
      <c r="P435" s="15" t="s">
        <v>104</v>
      </c>
      <c r="Q435" s="15"/>
    </row>
    <row r="436" spans="1:17" x14ac:dyDescent="0.25">
      <c r="A436" s="14"/>
      <c r="B436" s="25"/>
      <c r="C436" s="25"/>
      <c r="D436" s="15"/>
      <c r="E436" s="15"/>
      <c r="F436" s="26">
        <f>IFERROR(VLOOKUP(L436,CARTON_LOOKUP!$A:$E,3,0),"")</f>
      </c>
      <c r="G436" s="26">
        <f>IFERROR(VLOOKUP(L436,CARTON_LOOKUP!$A:$E,4,0),"")</f>
      </c>
      <c r="H436" s="26">
        <f>IFERROR(VLOOKUP(L436,CARTON_LOOKUP!$A:$E,5,0),"")</f>
      </c>
      <c r="I436" s="27">
        <f>IFERROR(VLOOKUP(L436,CARTON_LOOKUP!$A:$E,2,0),"")</f>
      </c>
      <c r="J436" s="15" t="s">
        <v>54</v>
      </c>
      <c r="K436" s="28">
        <v>0.21</v>
      </c>
      <c r="L436" s="15" t="s">
        <v>34</v>
      </c>
      <c r="M436" s="15" t="s">
        <v>101</v>
      </c>
      <c r="N436" s="15" t="s">
        <v>102</v>
      </c>
      <c r="O436" s="15" t="s">
        <v>103</v>
      </c>
      <c r="P436" s="15" t="s">
        <v>104</v>
      </c>
      <c r="Q436" s="15"/>
    </row>
    <row r="437" spans="1:17" x14ac:dyDescent="0.25">
      <c r="A437" s="14"/>
      <c r="B437" s="25"/>
      <c r="C437" s="25"/>
      <c r="D437" s="15"/>
      <c r="E437" s="15"/>
      <c r="F437" s="26">
        <f>IFERROR(VLOOKUP(L437,CARTON_LOOKUP!$A:$E,3,0),"")</f>
      </c>
      <c r="G437" s="26">
        <f>IFERROR(VLOOKUP(L437,CARTON_LOOKUP!$A:$E,4,0),"")</f>
      </c>
      <c r="H437" s="26">
        <f>IFERROR(VLOOKUP(L437,CARTON_LOOKUP!$A:$E,5,0),"")</f>
      </c>
      <c r="I437" s="27">
        <f>IFERROR(VLOOKUP(L437,CARTON_LOOKUP!$A:$E,2,0),"")</f>
      </c>
      <c r="J437" s="15" t="s">
        <v>54</v>
      </c>
      <c r="K437" s="28">
        <v>0.21</v>
      </c>
      <c r="L437" s="15" t="s">
        <v>34</v>
      </c>
      <c r="M437" s="15" t="s">
        <v>101</v>
      </c>
      <c r="N437" s="15" t="s">
        <v>102</v>
      </c>
      <c r="O437" s="15" t="s">
        <v>103</v>
      </c>
      <c r="P437" s="15" t="s">
        <v>104</v>
      </c>
      <c r="Q437" s="15"/>
    </row>
    <row r="438" spans="1:17" x14ac:dyDescent="0.25">
      <c r="A438" s="14"/>
      <c r="B438" s="25"/>
      <c r="C438" s="25"/>
      <c r="D438" s="15"/>
      <c r="E438" s="15"/>
      <c r="F438" s="26">
        <f>IFERROR(VLOOKUP(L438,CARTON_LOOKUP!$A:$E,3,0),"")</f>
      </c>
      <c r="G438" s="26">
        <f>IFERROR(VLOOKUP(L438,CARTON_LOOKUP!$A:$E,4,0),"")</f>
      </c>
      <c r="H438" s="26">
        <f>IFERROR(VLOOKUP(L438,CARTON_LOOKUP!$A:$E,5,0),"")</f>
      </c>
      <c r="I438" s="27">
        <f>IFERROR(VLOOKUP(L438,CARTON_LOOKUP!$A:$E,2,0),"")</f>
      </c>
      <c r="J438" s="15" t="s">
        <v>54</v>
      </c>
      <c r="K438" s="28">
        <v>0.21</v>
      </c>
      <c r="L438" s="15" t="s">
        <v>34</v>
      </c>
      <c r="M438" s="15" t="s">
        <v>101</v>
      </c>
      <c r="N438" s="15" t="s">
        <v>102</v>
      </c>
      <c r="O438" s="15" t="s">
        <v>103</v>
      </c>
      <c r="P438" s="15" t="s">
        <v>104</v>
      </c>
      <c r="Q438" s="15"/>
    </row>
    <row r="439" spans="1:17" x14ac:dyDescent="0.25">
      <c r="A439" s="14"/>
      <c r="B439" s="25"/>
      <c r="C439" s="25"/>
      <c r="D439" s="15"/>
      <c r="E439" s="15"/>
      <c r="F439" s="26">
        <f>IFERROR(VLOOKUP(L439,CARTON_LOOKUP!$A:$E,3,0),"")</f>
      </c>
      <c r="G439" s="26">
        <f>IFERROR(VLOOKUP(L439,CARTON_LOOKUP!$A:$E,4,0),"")</f>
      </c>
      <c r="H439" s="26">
        <f>IFERROR(VLOOKUP(L439,CARTON_LOOKUP!$A:$E,5,0),"")</f>
      </c>
      <c r="I439" s="27">
        <f>IFERROR(VLOOKUP(L439,CARTON_LOOKUP!$A:$E,2,0),"")</f>
      </c>
      <c r="J439" s="15" t="s">
        <v>54</v>
      </c>
      <c r="K439" s="28">
        <v>0.21</v>
      </c>
      <c r="L439" s="15" t="s">
        <v>34</v>
      </c>
      <c r="M439" s="15" t="s">
        <v>101</v>
      </c>
      <c r="N439" s="15" t="s">
        <v>102</v>
      </c>
      <c r="O439" s="15" t="s">
        <v>103</v>
      </c>
      <c r="P439" s="15" t="s">
        <v>104</v>
      </c>
      <c r="Q439" s="15"/>
    </row>
    <row r="440" spans="1:17" x14ac:dyDescent="0.25">
      <c r="A440" s="14"/>
      <c r="B440" s="25"/>
      <c r="C440" s="25"/>
      <c r="D440" s="15"/>
      <c r="E440" s="15"/>
      <c r="F440" s="26">
        <f>IFERROR(VLOOKUP(L440,CARTON_LOOKUP!$A:$E,3,0),"")</f>
      </c>
      <c r="G440" s="26">
        <f>IFERROR(VLOOKUP(L440,CARTON_LOOKUP!$A:$E,4,0),"")</f>
      </c>
      <c r="H440" s="26">
        <f>IFERROR(VLOOKUP(L440,CARTON_LOOKUP!$A:$E,5,0),"")</f>
      </c>
      <c r="I440" s="27">
        <f>IFERROR(VLOOKUP(L440,CARTON_LOOKUP!$A:$E,2,0),"")</f>
      </c>
      <c r="J440" s="15" t="s">
        <v>54</v>
      </c>
      <c r="K440" s="28">
        <v>0.21</v>
      </c>
      <c r="L440" s="15" t="s">
        <v>34</v>
      </c>
      <c r="M440" s="15" t="s">
        <v>101</v>
      </c>
      <c r="N440" s="15" t="s">
        <v>102</v>
      </c>
      <c r="O440" s="15" t="s">
        <v>103</v>
      </c>
      <c r="P440" s="15" t="s">
        <v>104</v>
      </c>
      <c r="Q440" s="15"/>
    </row>
    <row r="441" spans="1:17" x14ac:dyDescent="0.25">
      <c r="A441" s="14"/>
      <c r="B441" s="25"/>
      <c r="C441" s="25"/>
      <c r="D441" s="15"/>
      <c r="E441" s="15"/>
      <c r="F441" s="26">
        <f>IFERROR(VLOOKUP(L441,CARTON_LOOKUP!$A:$E,3,0),"")</f>
      </c>
      <c r="G441" s="26">
        <f>IFERROR(VLOOKUP(L441,CARTON_LOOKUP!$A:$E,4,0),"")</f>
      </c>
      <c r="H441" s="26">
        <f>IFERROR(VLOOKUP(L441,CARTON_LOOKUP!$A:$E,5,0),"")</f>
      </c>
      <c r="I441" s="27">
        <f>IFERROR(VLOOKUP(L441,CARTON_LOOKUP!$A:$E,2,0),"")</f>
      </c>
      <c r="J441" s="15" t="s">
        <v>54</v>
      </c>
      <c r="K441" s="28">
        <v>0.21</v>
      </c>
      <c r="L441" s="15" t="s">
        <v>34</v>
      </c>
      <c r="M441" s="15" t="s">
        <v>101</v>
      </c>
      <c r="N441" s="15" t="s">
        <v>102</v>
      </c>
      <c r="O441" s="15" t="s">
        <v>103</v>
      </c>
      <c r="P441" s="15" t="s">
        <v>104</v>
      </c>
      <c r="Q441" s="15"/>
    </row>
    <row r="442" spans="1:17" x14ac:dyDescent="0.25">
      <c r="A442" s="14"/>
      <c r="B442" s="25"/>
      <c r="C442" s="25"/>
      <c r="D442" s="15"/>
      <c r="E442" s="15"/>
      <c r="F442" s="26">
        <f>IFERROR(VLOOKUP(L442,CARTON_LOOKUP!$A:$E,3,0),"")</f>
      </c>
      <c r="G442" s="26">
        <f>IFERROR(VLOOKUP(L442,CARTON_LOOKUP!$A:$E,4,0),"")</f>
      </c>
      <c r="H442" s="26">
        <f>IFERROR(VLOOKUP(L442,CARTON_LOOKUP!$A:$E,5,0),"")</f>
      </c>
      <c r="I442" s="27">
        <f>IFERROR(VLOOKUP(L442,CARTON_LOOKUP!$A:$E,2,0),"")</f>
      </c>
      <c r="J442" s="15" t="s">
        <v>54</v>
      </c>
      <c r="K442" s="28">
        <v>0.21</v>
      </c>
      <c r="L442" s="15" t="s">
        <v>34</v>
      </c>
      <c r="M442" s="15" t="s">
        <v>101</v>
      </c>
      <c r="N442" s="15" t="s">
        <v>102</v>
      </c>
      <c r="O442" s="15" t="s">
        <v>103</v>
      </c>
      <c r="P442" s="15" t="s">
        <v>104</v>
      </c>
      <c r="Q442" s="15"/>
    </row>
    <row r="443" spans="1:17" x14ac:dyDescent="0.25">
      <c r="A443" s="14"/>
      <c r="B443" s="25"/>
      <c r="C443" s="25"/>
      <c r="D443" s="15"/>
      <c r="E443" s="15"/>
      <c r="F443" s="26">
        <f>IFERROR(VLOOKUP(L443,CARTON_LOOKUP!$A:$E,3,0),"")</f>
      </c>
      <c r="G443" s="26">
        <f>IFERROR(VLOOKUP(L443,CARTON_LOOKUP!$A:$E,4,0),"")</f>
      </c>
      <c r="H443" s="26">
        <f>IFERROR(VLOOKUP(L443,CARTON_LOOKUP!$A:$E,5,0),"")</f>
      </c>
      <c r="I443" s="27">
        <f>IFERROR(VLOOKUP(L443,CARTON_LOOKUP!$A:$E,2,0),"")</f>
      </c>
      <c r="J443" s="15" t="s">
        <v>54</v>
      </c>
      <c r="K443" s="28">
        <v>0.21</v>
      </c>
      <c r="L443" s="15" t="s">
        <v>34</v>
      </c>
      <c r="M443" s="15" t="s">
        <v>101</v>
      </c>
      <c r="N443" s="15" t="s">
        <v>102</v>
      </c>
      <c r="O443" s="15" t="s">
        <v>103</v>
      </c>
      <c r="P443" s="15" t="s">
        <v>104</v>
      </c>
      <c r="Q443" s="15"/>
    </row>
    <row r="444" spans="1:17" x14ac:dyDescent="0.25">
      <c r="A444" s="14"/>
      <c r="B444" s="25"/>
      <c r="C444" s="25"/>
      <c r="D444" s="15"/>
      <c r="E444" s="15"/>
      <c r="F444" s="26">
        <f>IFERROR(VLOOKUP(L444,CARTON_LOOKUP!$A:$E,3,0),"")</f>
      </c>
      <c r="G444" s="26">
        <f>IFERROR(VLOOKUP(L444,CARTON_LOOKUP!$A:$E,4,0),"")</f>
      </c>
      <c r="H444" s="26">
        <f>IFERROR(VLOOKUP(L444,CARTON_LOOKUP!$A:$E,5,0),"")</f>
      </c>
      <c r="I444" s="27">
        <f>IFERROR(VLOOKUP(L444,CARTON_LOOKUP!$A:$E,2,0),"")</f>
      </c>
      <c r="J444" s="15" t="s">
        <v>54</v>
      </c>
      <c r="K444" s="28">
        <v>0.21</v>
      </c>
      <c r="L444" s="15" t="s">
        <v>34</v>
      </c>
      <c r="M444" s="15" t="s">
        <v>101</v>
      </c>
      <c r="N444" s="15" t="s">
        <v>102</v>
      </c>
      <c r="O444" s="15" t="s">
        <v>103</v>
      </c>
      <c r="P444" s="15" t="s">
        <v>104</v>
      </c>
      <c r="Q444" s="15"/>
    </row>
    <row r="445" spans="1:17" x14ac:dyDescent="0.25">
      <c r="A445" s="14"/>
      <c r="B445" s="25"/>
      <c r="C445" s="25"/>
      <c r="D445" s="15"/>
      <c r="E445" s="15"/>
      <c r="F445" s="26">
        <f>IFERROR(VLOOKUP(L445,CARTON_LOOKUP!$A:$E,3,0),"")</f>
      </c>
      <c r="G445" s="26">
        <f>IFERROR(VLOOKUP(L445,CARTON_LOOKUP!$A:$E,4,0),"")</f>
      </c>
      <c r="H445" s="26">
        <f>IFERROR(VLOOKUP(L445,CARTON_LOOKUP!$A:$E,5,0),"")</f>
      </c>
      <c r="I445" s="27">
        <f>IFERROR(VLOOKUP(L445,CARTON_LOOKUP!$A:$E,2,0),"")</f>
      </c>
      <c r="J445" s="15" t="s">
        <v>54</v>
      </c>
      <c r="K445" s="28">
        <v>0.21</v>
      </c>
      <c r="L445" s="15" t="s">
        <v>34</v>
      </c>
      <c r="M445" s="15" t="s">
        <v>101</v>
      </c>
      <c r="N445" s="15" t="s">
        <v>102</v>
      </c>
      <c r="O445" s="15" t="s">
        <v>103</v>
      </c>
      <c r="P445" s="15" t="s">
        <v>104</v>
      </c>
      <c r="Q445" s="15"/>
    </row>
    <row r="446" spans="1:17" x14ac:dyDescent="0.25">
      <c r="A446" s="14"/>
      <c r="B446" s="25"/>
      <c r="C446" s="25"/>
      <c r="D446" s="15"/>
      <c r="E446" s="15"/>
      <c r="F446" s="26">
        <f>IFERROR(VLOOKUP(L446,CARTON_LOOKUP!$A:$E,3,0),"")</f>
      </c>
      <c r="G446" s="26">
        <f>IFERROR(VLOOKUP(L446,CARTON_LOOKUP!$A:$E,4,0),"")</f>
      </c>
      <c r="H446" s="26">
        <f>IFERROR(VLOOKUP(L446,CARTON_LOOKUP!$A:$E,5,0),"")</f>
      </c>
      <c r="I446" s="27">
        <f>IFERROR(VLOOKUP(L446,CARTON_LOOKUP!$A:$E,2,0),"")</f>
      </c>
      <c r="J446" s="15" t="s">
        <v>54</v>
      </c>
      <c r="K446" s="28">
        <v>0.21</v>
      </c>
      <c r="L446" s="15" t="s">
        <v>34</v>
      </c>
      <c r="M446" s="15" t="s">
        <v>101</v>
      </c>
      <c r="N446" s="15" t="s">
        <v>102</v>
      </c>
      <c r="O446" s="15" t="s">
        <v>103</v>
      </c>
      <c r="P446" s="15" t="s">
        <v>104</v>
      </c>
      <c r="Q446" s="15"/>
    </row>
    <row r="447" spans="1:17" x14ac:dyDescent="0.25">
      <c r="A447" s="14"/>
      <c r="B447" s="25"/>
      <c r="C447" s="25"/>
      <c r="D447" s="15"/>
      <c r="E447" s="15"/>
      <c r="F447" s="26">
        <f>IFERROR(VLOOKUP(L447,CARTON_LOOKUP!$A:$E,3,0),"")</f>
      </c>
      <c r="G447" s="26">
        <f>IFERROR(VLOOKUP(L447,CARTON_LOOKUP!$A:$E,4,0),"")</f>
      </c>
      <c r="H447" s="26">
        <f>IFERROR(VLOOKUP(L447,CARTON_LOOKUP!$A:$E,5,0),"")</f>
      </c>
      <c r="I447" s="27">
        <f>IFERROR(VLOOKUP(L447,CARTON_LOOKUP!$A:$E,2,0),"")</f>
      </c>
      <c r="J447" s="15" t="s">
        <v>54</v>
      </c>
      <c r="K447" s="28">
        <v>0.21</v>
      </c>
      <c r="L447" s="15" t="s">
        <v>34</v>
      </c>
      <c r="M447" s="15" t="s">
        <v>101</v>
      </c>
      <c r="N447" s="15" t="s">
        <v>102</v>
      </c>
      <c r="O447" s="15" t="s">
        <v>103</v>
      </c>
      <c r="P447" s="15" t="s">
        <v>104</v>
      </c>
      <c r="Q447" s="15"/>
    </row>
    <row r="448" spans="1:17" x14ac:dyDescent="0.25">
      <c r="A448" s="14"/>
      <c r="B448" s="25"/>
      <c r="C448" s="25"/>
      <c r="D448" s="15"/>
      <c r="E448" s="15"/>
      <c r="F448" s="26">
        <f>IFERROR(VLOOKUP(L448,CARTON_LOOKUP!$A:$E,3,0),"")</f>
      </c>
      <c r="G448" s="26">
        <f>IFERROR(VLOOKUP(L448,CARTON_LOOKUP!$A:$E,4,0),"")</f>
      </c>
      <c r="H448" s="26">
        <f>IFERROR(VLOOKUP(L448,CARTON_LOOKUP!$A:$E,5,0),"")</f>
      </c>
      <c r="I448" s="27">
        <f>IFERROR(VLOOKUP(L448,CARTON_LOOKUP!$A:$E,2,0),"")</f>
      </c>
      <c r="J448" s="15" t="s">
        <v>54</v>
      </c>
      <c r="K448" s="28">
        <v>0.21</v>
      </c>
      <c r="L448" s="15" t="s">
        <v>34</v>
      </c>
      <c r="M448" s="15" t="s">
        <v>101</v>
      </c>
      <c r="N448" s="15" t="s">
        <v>102</v>
      </c>
      <c r="O448" s="15" t="s">
        <v>103</v>
      </c>
      <c r="P448" s="15" t="s">
        <v>104</v>
      </c>
      <c r="Q448" s="15"/>
    </row>
    <row r="449" spans="1:17" x14ac:dyDescent="0.25">
      <c r="A449" s="14"/>
      <c r="B449" s="25"/>
      <c r="C449" s="25"/>
      <c r="D449" s="15"/>
      <c r="E449" s="15"/>
      <c r="F449" s="26">
        <f>IFERROR(VLOOKUP(L449,CARTON_LOOKUP!$A:$E,3,0),"")</f>
      </c>
      <c r="G449" s="26">
        <f>IFERROR(VLOOKUP(L449,CARTON_LOOKUP!$A:$E,4,0),"")</f>
      </c>
      <c r="H449" s="26">
        <f>IFERROR(VLOOKUP(L449,CARTON_LOOKUP!$A:$E,5,0),"")</f>
      </c>
      <c r="I449" s="27">
        <f>IFERROR(VLOOKUP(L449,CARTON_LOOKUP!$A:$E,2,0),"")</f>
      </c>
      <c r="J449" s="15" t="s">
        <v>54</v>
      </c>
      <c r="K449" s="28">
        <v>0.21</v>
      </c>
      <c r="L449" s="15" t="s">
        <v>34</v>
      </c>
      <c r="M449" s="15" t="s">
        <v>101</v>
      </c>
      <c r="N449" s="15" t="s">
        <v>102</v>
      </c>
      <c r="O449" s="15" t="s">
        <v>103</v>
      </c>
      <c r="P449" s="15" t="s">
        <v>104</v>
      </c>
      <c r="Q449" s="15"/>
    </row>
    <row r="450" spans="1:17" x14ac:dyDescent="0.25">
      <c r="A450" s="14"/>
      <c r="B450" s="25"/>
      <c r="C450" s="25"/>
      <c r="D450" s="15"/>
      <c r="E450" s="15"/>
      <c r="F450" s="26">
        <f>IFERROR(VLOOKUP(L450,CARTON_LOOKUP!$A:$E,3,0),"")</f>
      </c>
      <c r="G450" s="26">
        <f>IFERROR(VLOOKUP(L450,CARTON_LOOKUP!$A:$E,4,0),"")</f>
      </c>
      <c r="H450" s="26">
        <f>IFERROR(VLOOKUP(L450,CARTON_LOOKUP!$A:$E,5,0),"")</f>
      </c>
      <c r="I450" s="27">
        <f>IFERROR(VLOOKUP(L450,CARTON_LOOKUP!$A:$E,2,0),"")</f>
      </c>
      <c r="J450" s="15" t="s">
        <v>54</v>
      </c>
      <c r="K450" s="28">
        <v>0.21</v>
      </c>
      <c r="L450" s="15" t="s">
        <v>34</v>
      </c>
      <c r="M450" s="15" t="s">
        <v>101</v>
      </c>
      <c r="N450" s="15" t="s">
        <v>102</v>
      </c>
      <c r="O450" s="15" t="s">
        <v>103</v>
      </c>
      <c r="P450" s="15" t="s">
        <v>104</v>
      </c>
      <c r="Q450" s="15"/>
    </row>
    <row r="451" spans="1:17" x14ac:dyDescent="0.25">
      <c r="A451" s="14"/>
      <c r="B451" s="25"/>
      <c r="C451" s="25"/>
      <c r="D451" s="15"/>
      <c r="E451" s="15"/>
      <c r="F451" s="26">
        <f>IFERROR(VLOOKUP(L451,CARTON_LOOKUP!$A:$E,3,0),"")</f>
      </c>
      <c r="G451" s="26">
        <f>IFERROR(VLOOKUP(L451,CARTON_LOOKUP!$A:$E,4,0),"")</f>
      </c>
      <c r="H451" s="26">
        <f>IFERROR(VLOOKUP(L451,CARTON_LOOKUP!$A:$E,5,0),"")</f>
      </c>
      <c r="I451" s="27">
        <f>IFERROR(VLOOKUP(L451,CARTON_LOOKUP!$A:$E,2,0),"")</f>
      </c>
      <c r="J451" s="15" t="s">
        <v>54</v>
      </c>
      <c r="K451" s="28">
        <v>0.21</v>
      </c>
      <c r="L451" s="15" t="s">
        <v>34</v>
      </c>
      <c r="M451" s="15" t="s">
        <v>101</v>
      </c>
      <c r="N451" s="15" t="s">
        <v>102</v>
      </c>
      <c r="O451" s="15" t="s">
        <v>103</v>
      </c>
      <c r="P451" s="15" t="s">
        <v>104</v>
      </c>
      <c r="Q451" s="15"/>
    </row>
    <row r="452" spans="1:17" x14ac:dyDescent="0.25">
      <c r="A452" s="14"/>
      <c r="B452" s="25"/>
      <c r="C452" s="25"/>
      <c r="D452" s="15"/>
      <c r="E452" s="15"/>
      <c r="F452" s="26">
        <f>IFERROR(VLOOKUP(L452,CARTON_LOOKUP!$A:$E,3,0),"")</f>
      </c>
      <c r="G452" s="26">
        <f>IFERROR(VLOOKUP(L452,CARTON_LOOKUP!$A:$E,4,0),"")</f>
      </c>
      <c r="H452" s="26">
        <f>IFERROR(VLOOKUP(L452,CARTON_LOOKUP!$A:$E,5,0),"")</f>
      </c>
      <c r="I452" s="27">
        <f>IFERROR(VLOOKUP(L452,CARTON_LOOKUP!$A:$E,2,0),"")</f>
      </c>
      <c r="J452" s="15" t="s">
        <v>54</v>
      </c>
      <c r="K452" s="28">
        <v>0.21</v>
      </c>
      <c r="L452" s="15" t="s">
        <v>34</v>
      </c>
      <c r="M452" s="15" t="s">
        <v>101</v>
      </c>
      <c r="N452" s="15" t="s">
        <v>102</v>
      </c>
      <c r="O452" s="15" t="s">
        <v>103</v>
      </c>
      <c r="P452" s="15" t="s">
        <v>104</v>
      </c>
      <c r="Q452" s="15"/>
    </row>
    <row r="453" spans="1:17" x14ac:dyDescent="0.25">
      <c r="A453" s="14"/>
      <c r="B453" s="25"/>
      <c r="C453" s="25"/>
      <c r="D453" s="15"/>
      <c r="E453" s="15"/>
      <c r="F453" s="26">
        <f>IFERROR(VLOOKUP(L453,CARTON_LOOKUP!$A:$E,3,0),"")</f>
      </c>
      <c r="G453" s="26">
        <f>IFERROR(VLOOKUP(L453,CARTON_LOOKUP!$A:$E,4,0),"")</f>
      </c>
      <c r="H453" s="26">
        <f>IFERROR(VLOOKUP(L453,CARTON_LOOKUP!$A:$E,5,0),"")</f>
      </c>
      <c r="I453" s="27">
        <f>IFERROR(VLOOKUP(L453,CARTON_LOOKUP!$A:$E,2,0),"")</f>
      </c>
      <c r="J453" s="15" t="s">
        <v>54</v>
      </c>
      <c r="K453" s="28">
        <v>0.21</v>
      </c>
      <c r="L453" s="15" t="s">
        <v>34</v>
      </c>
      <c r="M453" s="15" t="s">
        <v>101</v>
      </c>
      <c r="N453" s="15" t="s">
        <v>102</v>
      </c>
      <c r="O453" s="15" t="s">
        <v>103</v>
      </c>
      <c r="P453" s="15" t="s">
        <v>104</v>
      </c>
      <c r="Q453" s="15"/>
    </row>
    <row r="454" spans="1:17" x14ac:dyDescent="0.25">
      <c r="A454" s="14"/>
      <c r="B454" s="25"/>
      <c r="C454" s="25"/>
      <c r="D454" s="15"/>
      <c r="E454" s="15"/>
      <c r="F454" s="26">
        <f>IFERROR(VLOOKUP(L454,CARTON_LOOKUP!$A:$E,3,0),"")</f>
      </c>
      <c r="G454" s="26">
        <f>IFERROR(VLOOKUP(L454,CARTON_LOOKUP!$A:$E,4,0),"")</f>
      </c>
      <c r="H454" s="26">
        <f>IFERROR(VLOOKUP(L454,CARTON_LOOKUP!$A:$E,5,0),"")</f>
      </c>
      <c r="I454" s="27">
        <f>IFERROR(VLOOKUP(L454,CARTON_LOOKUP!$A:$E,2,0),"")</f>
      </c>
      <c r="J454" s="15" t="s">
        <v>54</v>
      </c>
      <c r="K454" s="28">
        <v>0.21</v>
      </c>
      <c r="L454" s="15" t="s">
        <v>34</v>
      </c>
      <c r="M454" s="15" t="s">
        <v>101</v>
      </c>
      <c r="N454" s="15" t="s">
        <v>102</v>
      </c>
      <c r="O454" s="15" t="s">
        <v>103</v>
      </c>
      <c r="P454" s="15" t="s">
        <v>104</v>
      </c>
      <c r="Q454" s="15"/>
    </row>
    <row r="455" spans="1:17" x14ac:dyDescent="0.25">
      <c r="A455" s="14"/>
      <c r="B455" s="25"/>
      <c r="C455" s="25"/>
      <c r="D455" s="15"/>
      <c r="E455" s="15"/>
      <c r="F455" s="26">
        <f>IFERROR(VLOOKUP(L455,CARTON_LOOKUP!$A:$E,3,0),"")</f>
      </c>
      <c r="G455" s="26">
        <f>IFERROR(VLOOKUP(L455,CARTON_LOOKUP!$A:$E,4,0),"")</f>
      </c>
      <c r="H455" s="26">
        <f>IFERROR(VLOOKUP(L455,CARTON_LOOKUP!$A:$E,5,0),"")</f>
      </c>
      <c r="I455" s="27">
        <f>IFERROR(VLOOKUP(L455,CARTON_LOOKUP!$A:$E,2,0),"")</f>
      </c>
      <c r="J455" s="15" t="s">
        <v>54</v>
      </c>
      <c r="K455" s="28">
        <v>0.21</v>
      </c>
      <c r="L455" s="15" t="s">
        <v>34</v>
      </c>
      <c r="M455" s="15" t="s">
        <v>101</v>
      </c>
      <c r="N455" s="15" t="s">
        <v>102</v>
      </c>
      <c r="O455" s="15" t="s">
        <v>103</v>
      </c>
      <c r="P455" s="15" t="s">
        <v>104</v>
      </c>
      <c r="Q455" s="15"/>
    </row>
    <row r="456" spans="1:17" x14ac:dyDescent="0.25">
      <c r="A456" s="14"/>
      <c r="B456" s="25"/>
      <c r="C456" s="25"/>
      <c r="D456" s="15"/>
      <c r="E456" s="15"/>
      <c r="F456" s="26">
        <f>IFERROR(VLOOKUP(L456,CARTON_LOOKUP!$A:$E,3,0),"")</f>
      </c>
      <c r="G456" s="26">
        <f>IFERROR(VLOOKUP(L456,CARTON_LOOKUP!$A:$E,4,0),"")</f>
      </c>
      <c r="H456" s="26">
        <f>IFERROR(VLOOKUP(L456,CARTON_LOOKUP!$A:$E,5,0),"")</f>
      </c>
      <c r="I456" s="27">
        <f>IFERROR(VLOOKUP(L456,CARTON_LOOKUP!$A:$E,2,0),"")</f>
      </c>
      <c r="J456" s="15" t="s">
        <v>54</v>
      </c>
      <c r="K456" s="28">
        <v>0.21</v>
      </c>
      <c r="L456" s="15" t="s">
        <v>34</v>
      </c>
      <c r="M456" s="15" t="s">
        <v>101</v>
      </c>
      <c r="N456" s="15" t="s">
        <v>102</v>
      </c>
      <c r="O456" s="15" t="s">
        <v>103</v>
      </c>
      <c r="P456" s="15" t="s">
        <v>104</v>
      </c>
      <c r="Q456" s="15"/>
    </row>
    <row r="457" spans="1:17" x14ac:dyDescent="0.25">
      <c r="A457" s="14"/>
      <c r="B457" s="25"/>
      <c r="C457" s="25"/>
      <c r="D457" s="15"/>
      <c r="E457" s="15"/>
      <c r="F457" s="26">
        <f>IFERROR(VLOOKUP(L457,CARTON_LOOKUP!$A:$E,3,0),"")</f>
      </c>
      <c r="G457" s="26">
        <f>IFERROR(VLOOKUP(L457,CARTON_LOOKUP!$A:$E,4,0),"")</f>
      </c>
      <c r="H457" s="26">
        <f>IFERROR(VLOOKUP(L457,CARTON_LOOKUP!$A:$E,5,0),"")</f>
      </c>
      <c r="I457" s="27">
        <f>IFERROR(VLOOKUP(L457,CARTON_LOOKUP!$A:$E,2,0),"")</f>
      </c>
      <c r="J457" s="15" t="s">
        <v>54</v>
      </c>
      <c r="K457" s="28">
        <v>0.21</v>
      </c>
      <c r="L457" s="15" t="s">
        <v>34</v>
      </c>
      <c r="M457" s="15" t="s">
        <v>101</v>
      </c>
      <c r="N457" s="15" t="s">
        <v>102</v>
      </c>
      <c r="O457" s="15" t="s">
        <v>103</v>
      </c>
      <c r="P457" s="15" t="s">
        <v>104</v>
      </c>
      <c r="Q457" s="15"/>
    </row>
    <row r="458" spans="1:17" x14ac:dyDescent="0.25">
      <c r="A458" s="14"/>
      <c r="B458" s="25"/>
      <c r="C458" s="25"/>
      <c r="D458" s="15"/>
      <c r="E458" s="15"/>
      <c r="F458" s="26">
        <f>IFERROR(VLOOKUP(L458,CARTON_LOOKUP!$A:$E,3,0),"")</f>
      </c>
      <c r="G458" s="26">
        <f>IFERROR(VLOOKUP(L458,CARTON_LOOKUP!$A:$E,4,0),"")</f>
      </c>
      <c r="H458" s="26">
        <f>IFERROR(VLOOKUP(L458,CARTON_LOOKUP!$A:$E,5,0),"")</f>
      </c>
      <c r="I458" s="27">
        <f>IFERROR(VLOOKUP(L458,CARTON_LOOKUP!$A:$E,2,0),"")</f>
      </c>
      <c r="J458" s="15" t="s">
        <v>54</v>
      </c>
      <c r="K458" s="28">
        <v>0.21</v>
      </c>
      <c r="L458" s="15" t="s">
        <v>34</v>
      </c>
      <c r="M458" s="15" t="s">
        <v>101</v>
      </c>
      <c r="N458" s="15" t="s">
        <v>102</v>
      </c>
      <c r="O458" s="15" t="s">
        <v>103</v>
      </c>
      <c r="P458" s="15" t="s">
        <v>104</v>
      </c>
      <c r="Q458" s="15"/>
    </row>
    <row r="459" spans="1:17" x14ac:dyDescent="0.25">
      <c r="A459" s="14"/>
      <c r="B459" s="25"/>
      <c r="C459" s="25"/>
      <c r="D459" s="15"/>
      <c r="E459" s="15"/>
      <c r="F459" s="26">
        <f>IFERROR(VLOOKUP(L459,CARTON_LOOKUP!$A:$E,3,0),"")</f>
      </c>
      <c r="G459" s="26">
        <f>IFERROR(VLOOKUP(L459,CARTON_LOOKUP!$A:$E,4,0),"")</f>
      </c>
      <c r="H459" s="26">
        <f>IFERROR(VLOOKUP(L459,CARTON_LOOKUP!$A:$E,5,0),"")</f>
      </c>
      <c r="I459" s="27">
        <f>IFERROR(VLOOKUP(L459,CARTON_LOOKUP!$A:$E,2,0),"")</f>
      </c>
      <c r="J459" s="15" t="s">
        <v>54</v>
      </c>
      <c r="K459" s="28">
        <v>0.21</v>
      </c>
      <c r="L459" s="15" t="s">
        <v>34</v>
      </c>
      <c r="M459" s="15" t="s">
        <v>101</v>
      </c>
      <c r="N459" s="15" t="s">
        <v>102</v>
      </c>
      <c r="O459" s="15" t="s">
        <v>103</v>
      </c>
      <c r="P459" s="15" t="s">
        <v>104</v>
      </c>
      <c r="Q459" s="15"/>
    </row>
    <row r="460" spans="1:17" x14ac:dyDescent="0.25">
      <c r="A460" s="14"/>
      <c r="B460" s="25"/>
      <c r="C460" s="25"/>
      <c r="D460" s="15"/>
      <c r="E460" s="15"/>
      <c r="F460" s="26">
        <f>IFERROR(VLOOKUP(L460,CARTON_LOOKUP!$A:$E,3,0),"")</f>
      </c>
      <c r="G460" s="26">
        <f>IFERROR(VLOOKUP(L460,CARTON_LOOKUP!$A:$E,4,0),"")</f>
      </c>
      <c r="H460" s="26">
        <f>IFERROR(VLOOKUP(L460,CARTON_LOOKUP!$A:$E,5,0),"")</f>
      </c>
      <c r="I460" s="27">
        <f>IFERROR(VLOOKUP(L460,CARTON_LOOKUP!$A:$E,2,0),"")</f>
      </c>
      <c r="J460" s="15" t="s">
        <v>54</v>
      </c>
      <c r="K460" s="28">
        <v>0.21</v>
      </c>
      <c r="L460" s="15" t="s">
        <v>34</v>
      </c>
      <c r="M460" s="15" t="s">
        <v>101</v>
      </c>
      <c r="N460" s="15" t="s">
        <v>102</v>
      </c>
      <c r="O460" s="15" t="s">
        <v>103</v>
      </c>
      <c r="P460" s="15" t="s">
        <v>104</v>
      </c>
      <c r="Q460" s="15"/>
    </row>
    <row r="461" spans="1:17" x14ac:dyDescent="0.25">
      <c r="A461" s="14"/>
      <c r="B461" s="25"/>
      <c r="C461" s="25"/>
      <c r="D461" s="15"/>
      <c r="E461" s="15"/>
      <c r="F461" s="26">
        <f>IFERROR(VLOOKUP(L461,CARTON_LOOKUP!$A:$E,3,0),"")</f>
      </c>
      <c r="G461" s="26">
        <f>IFERROR(VLOOKUP(L461,CARTON_LOOKUP!$A:$E,4,0),"")</f>
      </c>
      <c r="H461" s="26">
        <f>IFERROR(VLOOKUP(L461,CARTON_LOOKUP!$A:$E,5,0),"")</f>
      </c>
      <c r="I461" s="27">
        <f>IFERROR(VLOOKUP(L461,CARTON_LOOKUP!$A:$E,2,0),"")</f>
      </c>
      <c r="J461" s="15" t="s">
        <v>54</v>
      </c>
      <c r="K461" s="28">
        <v>0.21</v>
      </c>
      <c r="L461" s="15" t="s">
        <v>34</v>
      </c>
      <c r="M461" s="15" t="s">
        <v>101</v>
      </c>
      <c r="N461" s="15" t="s">
        <v>102</v>
      </c>
      <c r="O461" s="15" t="s">
        <v>103</v>
      </c>
      <c r="P461" s="15" t="s">
        <v>104</v>
      </c>
      <c r="Q461" s="15"/>
    </row>
    <row r="462" spans="1:17" x14ac:dyDescent="0.25">
      <c r="A462" s="14"/>
      <c r="B462" s="25"/>
      <c r="C462" s="25"/>
      <c r="D462" s="15"/>
      <c r="E462" s="15"/>
      <c r="F462" s="26">
        <f>IFERROR(VLOOKUP(L462,CARTON_LOOKUP!$A:$E,3,0),"")</f>
      </c>
      <c r="G462" s="26">
        <f>IFERROR(VLOOKUP(L462,CARTON_LOOKUP!$A:$E,4,0),"")</f>
      </c>
      <c r="H462" s="26">
        <f>IFERROR(VLOOKUP(L462,CARTON_LOOKUP!$A:$E,5,0),"")</f>
      </c>
      <c r="I462" s="27">
        <f>IFERROR(VLOOKUP(L462,CARTON_LOOKUP!$A:$E,2,0),"")</f>
      </c>
      <c r="J462" s="15" t="s">
        <v>54</v>
      </c>
      <c r="K462" s="28">
        <v>0.21</v>
      </c>
      <c r="L462" s="15" t="s">
        <v>34</v>
      </c>
      <c r="M462" s="15" t="s">
        <v>101</v>
      </c>
      <c r="N462" s="15" t="s">
        <v>102</v>
      </c>
      <c r="O462" s="15" t="s">
        <v>103</v>
      </c>
      <c r="P462" s="15" t="s">
        <v>104</v>
      </c>
      <c r="Q462" s="15"/>
    </row>
    <row r="463" spans="1:17" x14ac:dyDescent="0.25">
      <c r="A463" s="14"/>
      <c r="B463" s="25"/>
      <c r="C463" s="25"/>
      <c r="D463" s="15"/>
      <c r="E463" s="15"/>
      <c r="F463" s="26">
        <f>IFERROR(VLOOKUP(L463,CARTON_LOOKUP!$A:$E,3,0),"")</f>
      </c>
      <c r="G463" s="26">
        <f>IFERROR(VLOOKUP(L463,CARTON_LOOKUP!$A:$E,4,0),"")</f>
      </c>
      <c r="H463" s="26">
        <f>IFERROR(VLOOKUP(L463,CARTON_LOOKUP!$A:$E,5,0),"")</f>
      </c>
      <c r="I463" s="27">
        <f>IFERROR(VLOOKUP(L463,CARTON_LOOKUP!$A:$E,2,0),"")</f>
      </c>
      <c r="J463" s="15" t="s">
        <v>54</v>
      </c>
      <c r="K463" s="28">
        <v>0.21</v>
      </c>
      <c r="L463" s="15" t="s">
        <v>34</v>
      </c>
      <c r="M463" s="15" t="s">
        <v>101</v>
      </c>
      <c r="N463" s="15" t="s">
        <v>102</v>
      </c>
      <c r="O463" s="15" t="s">
        <v>103</v>
      </c>
      <c r="P463" s="15" t="s">
        <v>104</v>
      </c>
      <c r="Q463" s="15"/>
    </row>
    <row r="464" spans="1:17" x14ac:dyDescent="0.25">
      <c r="A464" s="14"/>
      <c r="B464" s="25"/>
      <c r="C464" s="25"/>
      <c r="D464" s="15"/>
      <c r="E464" s="15"/>
      <c r="F464" s="26">
        <f>IFERROR(VLOOKUP(L464,CARTON_LOOKUP!$A:$E,3,0),"")</f>
      </c>
      <c r="G464" s="26">
        <f>IFERROR(VLOOKUP(L464,CARTON_LOOKUP!$A:$E,4,0),"")</f>
      </c>
      <c r="H464" s="26">
        <f>IFERROR(VLOOKUP(L464,CARTON_LOOKUP!$A:$E,5,0),"")</f>
      </c>
      <c r="I464" s="27">
        <f>IFERROR(VLOOKUP(L464,CARTON_LOOKUP!$A:$E,2,0),"")</f>
      </c>
      <c r="J464" s="15" t="s">
        <v>54</v>
      </c>
      <c r="K464" s="28">
        <v>0.21</v>
      </c>
      <c r="L464" s="15" t="s">
        <v>34</v>
      </c>
      <c r="M464" s="15" t="s">
        <v>101</v>
      </c>
      <c r="N464" s="15" t="s">
        <v>102</v>
      </c>
      <c r="O464" s="15" t="s">
        <v>103</v>
      </c>
      <c r="P464" s="15" t="s">
        <v>104</v>
      </c>
      <c r="Q464" s="15"/>
    </row>
    <row r="465" spans="1:17" x14ac:dyDescent="0.25">
      <c r="A465" s="14"/>
      <c r="B465" s="25"/>
      <c r="C465" s="25"/>
      <c r="D465" s="15"/>
      <c r="E465" s="15"/>
      <c r="F465" s="26">
        <f>IFERROR(VLOOKUP(L465,CARTON_LOOKUP!$A:$E,3,0),"")</f>
      </c>
      <c r="G465" s="26">
        <f>IFERROR(VLOOKUP(L465,CARTON_LOOKUP!$A:$E,4,0),"")</f>
      </c>
      <c r="H465" s="26">
        <f>IFERROR(VLOOKUP(L465,CARTON_LOOKUP!$A:$E,5,0),"")</f>
      </c>
      <c r="I465" s="27">
        <f>IFERROR(VLOOKUP(L465,CARTON_LOOKUP!$A:$E,2,0),"")</f>
      </c>
      <c r="J465" s="15" t="s">
        <v>54</v>
      </c>
      <c r="K465" s="28">
        <v>0.21</v>
      </c>
      <c r="L465" s="15" t="s">
        <v>34</v>
      </c>
      <c r="M465" s="15" t="s">
        <v>101</v>
      </c>
      <c r="N465" s="15" t="s">
        <v>102</v>
      </c>
      <c r="O465" s="15" t="s">
        <v>103</v>
      </c>
      <c r="P465" s="15" t="s">
        <v>104</v>
      </c>
      <c r="Q465" s="15"/>
    </row>
    <row r="466" spans="1:17" x14ac:dyDescent="0.25">
      <c r="A466" s="14"/>
      <c r="B466" s="25"/>
      <c r="C466" s="25"/>
      <c r="D466" s="15"/>
      <c r="E466" s="15"/>
      <c r="F466" s="26">
        <f>IFERROR(VLOOKUP(L466,CARTON_LOOKUP!$A:$E,3,0),"")</f>
      </c>
      <c r="G466" s="26">
        <f>IFERROR(VLOOKUP(L466,CARTON_LOOKUP!$A:$E,4,0),"")</f>
      </c>
      <c r="H466" s="26">
        <f>IFERROR(VLOOKUP(L466,CARTON_LOOKUP!$A:$E,5,0),"")</f>
      </c>
      <c r="I466" s="27">
        <f>IFERROR(VLOOKUP(L466,CARTON_LOOKUP!$A:$E,2,0),"")</f>
      </c>
      <c r="J466" s="15" t="s">
        <v>54</v>
      </c>
      <c r="K466" s="28">
        <v>0.21</v>
      </c>
      <c r="L466" s="15" t="s">
        <v>34</v>
      </c>
      <c r="M466" s="15" t="s">
        <v>101</v>
      </c>
      <c r="N466" s="15" t="s">
        <v>102</v>
      </c>
      <c r="O466" s="15" t="s">
        <v>103</v>
      </c>
      <c r="P466" s="15" t="s">
        <v>104</v>
      </c>
      <c r="Q466" s="15"/>
    </row>
    <row r="467" spans="1:17" x14ac:dyDescent="0.25">
      <c r="A467" s="14"/>
      <c r="B467" s="25"/>
      <c r="C467" s="25"/>
      <c r="D467" s="15"/>
      <c r="E467" s="15"/>
      <c r="F467" s="26">
        <f>IFERROR(VLOOKUP(L467,CARTON_LOOKUP!$A:$E,3,0),"")</f>
      </c>
      <c r="G467" s="26">
        <f>IFERROR(VLOOKUP(L467,CARTON_LOOKUP!$A:$E,4,0),"")</f>
      </c>
      <c r="H467" s="26">
        <f>IFERROR(VLOOKUP(L467,CARTON_LOOKUP!$A:$E,5,0),"")</f>
      </c>
      <c r="I467" s="27">
        <f>IFERROR(VLOOKUP(L467,CARTON_LOOKUP!$A:$E,2,0),"")</f>
      </c>
      <c r="J467" s="15" t="s">
        <v>54</v>
      </c>
      <c r="K467" s="28">
        <v>0.21</v>
      </c>
      <c r="L467" s="15" t="s">
        <v>34</v>
      </c>
      <c r="M467" s="15" t="s">
        <v>101</v>
      </c>
      <c r="N467" s="15" t="s">
        <v>102</v>
      </c>
      <c r="O467" s="15" t="s">
        <v>103</v>
      </c>
      <c r="P467" s="15" t="s">
        <v>104</v>
      </c>
      <c r="Q467" s="15"/>
    </row>
    <row r="468" spans="1:17" x14ac:dyDescent="0.25">
      <c r="A468" s="14"/>
      <c r="B468" s="25"/>
      <c r="C468" s="25"/>
      <c r="D468" s="15"/>
      <c r="E468" s="15"/>
      <c r="F468" s="26">
        <f>IFERROR(VLOOKUP(L468,CARTON_LOOKUP!$A:$E,3,0),"")</f>
      </c>
      <c r="G468" s="26">
        <f>IFERROR(VLOOKUP(L468,CARTON_LOOKUP!$A:$E,4,0),"")</f>
      </c>
      <c r="H468" s="26">
        <f>IFERROR(VLOOKUP(L468,CARTON_LOOKUP!$A:$E,5,0),"")</f>
      </c>
      <c r="I468" s="27">
        <f>IFERROR(VLOOKUP(L468,CARTON_LOOKUP!$A:$E,2,0),"")</f>
      </c>
      <c r="J468" s="15" t="s">
        <v>54</v>
      </c>
      <c r="K468" s="28">
        <v>0.21</v>
      </c>
      <c r="L468" s="15" t="s">
        <v>34</v>
      </c>
      <c r="M468" s="15" t="s">
        <v>101</v>
      </c>
      <c r="N468" s="15" t="s">
        <v>102</v>
      </c>
      <c r="O468" s="15" t="s">
        <v>103</v>
      </c>
      <c r="P468" s="15" t="s">
        <v>104</v>
      </c>
      <c r="Q468" s="15"/>
    </row>
    <row r="469" spans="1:17" x14ac:dyDescent="0.25">
      <c r="A469" s="14"/>
      <c r="B469" s="25"/>
      <c r="C469" s="25"/>
      <c r="D469" s="15"/>
      <c r="E469" s="15"/>
      <c r="F469" s="26">
        <f>IFERROR(VLOOKUP(L469,CARTON_LOOKUP!$A:$E,3,0),"")</f>
      </c>
      <c r="G469" s="26">
        <f>IFERROR(VLOOKUP(L469,CARTON_LOOKUP!$A:$E,4,0),"")</f>
      </c>
      <c r="H469" s="26">
        <f>IFERROR(VLOOKUP(L469,CARTON_LOOKUP!$A:$E,5,0),"")</f>
      </c>
      <c r="I469" s="27">
        <f>IFERROR(VLOOKUP(L469,CARTON_LOOKUP!$A:$E,2,0),"")</f>
      </c>
      <c r="J469" s="15" t="s">
        <v>54</v>
      </c>
      <c r="K469" s="28">
        <v>0.21</v>
      </c>
      <c r="L469" s="15" t="s">
        <v>34</v>
      </c>
      <c r="M469" s="15" t="s">
        <v>101</v>
      </c>
      <c r="N469" s="15" t="s">
        <v>102</v>
      </c>
      <c r="O469" s="15" t="s">
        <v>103</v>
      </c>
      <c r="P469" s="15" t="s">
        <v>104</v>
      </c>
      <c r="Q469" s="15"/>
    </row>
    <row r="470" spans="1:17" x14ac:dyDescent="0.25">
      <c r="A470" s="14"/>
      <c r="B470" s="25"/>
      <c r="C470" s="25"/>
      <c r="D470" s="15"/>
      <c r="E470" s="15"/>
      <c r="F470" s="26">
        <f>IFERROR(VLOOKUP(L470,CARTON_LOOKUP!$A:$E,3,0),"")</f>
      </c>
      <c r="G470" s="26">
        <f>IFERROR(VLOOKUP(L470,CARTON_LOOKUP!$A:$E,4,0),"")</f>
      </c>
      <c r="H470" s="26">
        <f>IFERROR(VLOOKUP(L470,CARTON_LOOKUP!$A:$E,5,0),"")</f>
      </c>
      <c r="I470" s="27">
        <f>IFERROR(VLOOKUP(L470,CARTON_LOOKUP!$A:$E,2,0),"")</f>
      </c>
      <c r="J470" s="15" t="s">
        <v>54</v>
      </c>
      <c r="K470" s="28">
        <v>0.21</v>
      </c>
      <c r="L470" s="15" t="s">
        <v>34</v>
      </c>
      <c r="M470" s="15" t="s">
        <v>101</v>
      </c>
      <c r="N470" s="15" t="s">
        <v>102</v>
      </c>
      <c r="O470" s="15" t="s">
        <v>103</v>
      </c>
      <c r="P470" s="15" t="s">
        <v>104</v>
      </c>
      <c r="Q470" s="15"/>
    </row>
    <row r="471" spans="1:17" x14ac:dyDescent="0.25">
      <c r="A471" s="14"/>
      <c r="B471" s="25"/>
      <c r="C471" s="25"/>
      <c r="D471" s="15"/>
      <c r="E471" s="15"/>
      <c r="F471" s="26">
        <f>IFERROR(VLOOKUP(L471,CARTON_LOOKUP!$A:$E,3,0),"")</f>
      </c>
      <c r="G471" s="26">
        <f>IFERROR(VLOOKUP(L471,CARTON_LOOKUP!$A:$E,4,0),"")</f>
      </c>
      <c r="H471" s="26">
        <f>IFERROR(VLOOKUP(L471,CARTON_LOOKUP!$A:$E,5,0),"")</f>
      </c>
      <c r="I471" s="27">
        <f>IFERROR(VLOOKUP(L471,CARTON_LOOKUP!$A:$E,2,0),"")</f>
      </c>
      <c r="J471" s="15" t="s">
        <v>54</v>
      </c>
      <c r="K471" s="28">
        <v>0.21</v>
      </c>
      <c r="L471" s="15" t="s">
        <v>34</v>
      </c>
      <c r="M471" s="15" t="s">
        <v>101</v>
      </c>
      <c r="N471" s="15" t="s">
        <v>102</v>
      </c>
      <c r="O471" s="15" t="s">
        <v>103</v>
      </c>
      <c r="P471" s="15" t="s">
        <v>104</v>
      </c>
      <c r="Q471" s="15"/>
    </row>
    <row r="472" spans="1:17" x14ac:dyDescent="0.25">
      <c r="A472" s="14"/>
      <c r="B472" s="25"/>
      <c r="C472" s="25"/>
      <c r="D472" s="15"/>
      <c r="E472" s="15"/>
      <c r="F472" s="26">
        <f>IFERROR(VLOOKUP(L472,CARTON_LOOKUP!$A:$E,3,0),"")</f>
      </c>
      <c r="G472" s="26">
        <f>IFERROR(VLOOKUP(L472,CARTON_LOOKUP!$A:$E,4,0),"")</f>
      </c>
      <c r="H472" s="26">
        <f>IFERROR(VLOOKUP(L472,CARTON_LOOKUP!$A:$E,5,0),"")</f>
      </c>
      <c r="I472" s="27">
        <f>IFERROR(VLOOKUP(L472,CARTON_LOOKUP!$A:$E,2,0),"")</f>
      </c>
      <c r="J472" s="15" t="s">
        <v>54</v>
      </c>
      <c r="K472" s="28">
        <v>0.21</v>
      </c>
      <c r="L472" s="15" t="s">
        <v>34</v>
      </c>
      <c r="M472" s="15" t="s">
        <v>101</v>
      </c>
      <c r="N472" s="15" t="s">
        <v>102</v>
      </c>
      <c r="O472" s="15" t="s">
        <v>103</v>
      </c>
      <c r="P472" s="15" t="s">
        <v>104</v>
      </c>
      <c r="Q472" s="15"/>
    </row>
    <row r="473" spans="1:17" x14ac:dyDescent="0.25">
      <c r="A473" s="14"/>
      <c r="B473" s="25"/>
      <c r="C473" s="25"/>
      <c r="D473" s="15"/>
      <c r="E473" s="15"/>
      <c r="F473" s="26">
        <f>IFERROR(VLOOKUP(L473,CARTON_LOOKUP!$A:$E,3,0),"")</f>
      </c>
      <c r="G473" s="26">
        <f>IFERROR(VLOOKUP(L473,CARTON_LOOKUP!$A:$E,4,0),"")</f>
      </c>
      <c r="H473" s="26">
        <f>IFERROR(VLOOKUP(L473,CARTON_LOOKUP!$A:$E,5,0),"")</f>
      </c>
      <c r="I473" s="27">
        <f>IFERROR(VLOOKUP(L473,CARTON_LOOKUP!$A:$E,2,0),"")</f>
      </c>
      <c r="J473" s="15" t="s">
        <v>54</v>
      </c>
      <c r="K473" s="28">
        <v>0.21</v>
      </c>
      <c r="L473" s="15" t="s">
        <v>34</v>
      </c>
      <c r="M473" s="15" t="s">
        <v>101</v>
      </c>
      <c r="N473" s="15" t="s">
        <v>102</v>
      </c>
      <c r="O473" s="15" t="s">
        <v>103</v>
      </c>
      <c r="P473" s="15" t="s">
        <v>104</v>
      </c>
      <c r="Q473" s="15"/>
    </row>
    <row r="474" spans="1:17" x14ac:dyDescent="0.25">
      <c r="A474" s="14"/>
      <c r="B474" s="25"/>
      <c r="C474" s="25"/>
      <c r="D474" s="15"/>
      <c r="E474" s="15"/>
      <c r="F474" s="26">
        <f>IFERROR(VLOOKUP(L474,CARTON_LOOKUP!$A:$E,3,0),"")</f>
      </c>
      <c r="G474" s="26">
        <f>IFERROR(VLOOKUP(L474,CARTON_LOOKUP!$A:$E,4,0),"")</f>
      </c>
      <c r="H474" s="26">
        <f>IFERROR(VLOOKUP(L474,CARTON_LOOKUP!$A:$E,5,0),"")</f>
      </c>
      <c r="I474" s="27">
        <f>IFERROR(VLOOKUP(L474,CARTON_LOOKUP!$A:$E,2,0),"")</f>
      </c>
      <c r="J474" s="15" t="s">
        <v>54</v>
      </c>
      <c r="K474" s="28">
        <v>0.21</v>
      </c>
      <c r="L474" s="15" t="s">
        <v>34</v>
      </c>
      <c r="M474" s="15" t="s">
        <v>101</v>
      </c>
      <c r="N474" s="15" t="s">
        <v>102</v>
      </c>
      <c r="O474" s="15" t="s">
        <v>103</v>
      </c>
      <c r="P474" s="15" t="s">
        <v>104</v>
      </c>
      <c r="Q474" s="15"/>
    </row>
    <row r="475" spans="1:17" x14ac:dyDescent="0.25">
      <c r="A475" s="14"/>
      <c r="B475" s="25"/>
      <c r="C475" s="25"/>
      <c r="D475" s="15"/>
      <c r="E475" s="15"/>
      <c r="F475" s="26">
        <f>IFERROR(VLOOKUP(L475,CARTON_LOOKUP!$A:$E,3,0),"")</f>
      </c>
      <c r="G475" s="26">
        <f>IFERROR(VLOOKUP(L475,CARTON_LOOKUP!$A:$E,4,0),"")</f>
      </c>
      <c r="H475" s="26">
        <f>IFERROR(VLOOKUP(L475,CARTON_LOOKUP!$A:$E,5,0),"")</f>
      </c>
      <c r="I475" s="27">
        <f>IFERROR(VLOOKUP(L475,CARTON_LOOKUP!$A:$E,2,0),"")</f>
      </c>
      <c r="J475" s="15" t="s">
        <v>54</v>
      </c>
      <c r="K475" s="28">
        <v>0.21</v>
      </c>
      <c r="L475" s="15" t="s">
        <v>34</v>
      </c>
      <c r="M475" s="15" t="s">
        <v>101</v>
      </c>
      <c r="N475" s="15" t="s">
        <v>102</v>
      </c>
      <c r="O475" s="15" t="s">
        <v>103</v>
      </c>
      <c r="P475" s="15" t="s">
        <v>104</v>
      </c>
      <c r="Q475" s="15"/>
    </row>
    <row r="476" spans="1:17" x14ac:dyDescent="0.25">
      <c r="A476" s="14"/>
      <c r="B476" s="25"/>
      <c r="C476" s="25"/>
      <c r="D476" s="15"/>
      <c r="E476" s="15"/>
      <c r="F476" s="26">
        <f>IFERROR(VLOOKUP(L476,CARTON_LOOKUP!$A:$E,3,0),"")</f>
      </c>
      <c r="G476" s="26">
        <f>IFERROR(VLOOKUP(L476,CARTON_LOOKUP!$A:$E,4,0),"")</f>
      </c>
      <c r="H476" s="26">
        <f>IFERROR(VLOOKUP(L476,CARTON_LOOKUP!$A:$E,5,0),"")</f>
      </c>
      <c r="I476" s="27">
        <f>IFERROR(VLOOKUP(L476,CARTON_LOOKUP!$A:$E,2,0),"")</f>
      </c>
      <c r="J476" s="15" t="s">
        <v>54</v>
      </c>
      <c r="K476" s="28">
        <v>0.21</v>
      </c>
      <c r="L476" s="15" t="s">
        <v>34</v>
      </c>
      <c r="M476" s="15" t="s">
        <v>101</v>
      </c>
      <c r="N476" s="15" t="s">
        <v>102</v>
      </c>
      <c r="O476" s="15" t="s">
        <v>103</v>
      </c>
      <c r="P476" s="15" t="s">
        <v>104</v>
      </c>
      <c r="Q476" s="15"/>
    </row>
    <row r="477" spans="1:17" x14ac:dyDescent="0.25">
      <c r="A477" s="14"/>
      <c r="B477" s="25"/>
      <c r="C477" s="25"/>
      <c r="D477" s="15"/>
      <c r="E477" s="15"/>
      <c r="F477" s="26">
        <f>IFERROR(VLOOKUP(L477,CARTON_LOOKUP!$A:$E,3,0),"")</f>
      </c>
      <c r="G477" s="26">
        <f>IFERROR(VLOOKUP(L477,CARTON_LOOKUP!$A:$E,4,0),"")</f>
      </c>
      <c r="H477" s="26">
        <f>IFERROR(VLOOKUP(L477,CARTON_LOOKUP!$A:$E,5,0),"")</f>
      </c>
      <c r="I477" s="27">
        <f>IFERROR(VLOOKUP(L477,CARTON_LOOKUP!$A:$E,2,0),"")</f>
      </c>
      <c r="J477" s="15" t="s">
        <v>54</v>
      </c>
      <c r="K477" s="28">
        <v>0.21</v>
      </c>
      <c r="L477" s="15" t="s">
        <v>34</v>
      </c>
      <c r="M477" s="15" t="s">
        <v>101</v>
      </c>
      <c r="N477" s="15" t="s">
        <v>102</v>
      </c>
      <c r="O477" s="15" t="s">
        <v>103</v>
      </c>
      <c r="P477" s="15" t="s">
        <v>104</v>
      </c>
      <c r="Q477" s="15"/>
    </row>
    <row r="478" spans="1:17" x14ac:dyDescent="0.25">
      <c r="A478" s="14"/>
      <c r="B478" s="25"/>
      <c r="C478" s="25"/>
      <c r="D478" s="15"/>
      <c r="E478" s="15"/>
      <c r="F478" s="26">
        <f>IFERROR(VLOOKUP(L478,CARTON_LOOKUP!$A:$E,3,0),"")</f>
      </c>
      <c r="G478" s="26">
        <f>IFERROR(VLOOKUP(L478,CARTON_LOOKUP!$A:$E,4,0),"")</f>
      </c>
      <c r="H478" s="26">
        <f>IFERROR(VLOOKUP(L478,CARTON_LOOKUP!$A:$E,5,0),"")</f>
      </c>
      <c r="I478" s="27">
        <f>IFERROR(VLOOKUP(L478,CARTON_LOOKUP!$A:$E,2,0),"")</f>
      </c>
      <c r="J478" s="15" t="s">
        <v>54</v>
      </c>
      <c r="K478" s="28">
        <v>0.21</v>
      </c>
      <c r="L478" s="15" t="s">
        <v>34</v>
      </c>
      <c r="M478" s="15" t="s">
        <v>101</v>
      </c>
      <c r="N478" s="15" t="s">
        <v>102</v>
      </c>
      <c r="O478" s="15" t="s">
        <v>103</v>
      </c>
      <c r="P478" s="15" t="s">
        <v>104</v>
      </c>
      <c r="Q478" s="15"/>
    </row>
    <row r="479" spans="1:17" x14ac:dyDescent="0.25">
      <c r="A479" s="14"/>
      <c r="B479" s="25"/>
      <c r="C479" s="25"/>
      <c r="D479" s="15"/>
      <c r="E479" s="15"/>
      <c r="F479" s="26">
        <f>IFERROR(VLOOKUP(L479,CARTON_LOOKUP!$A:$E,3,0),"")</f>
      </c>
      <c r="G479" s="26">
        <f>IFERROR(VLOOKUP(L479,CARTON_LOOKUP!$A:$E,4,0),"")</f>
      </c>
      <c r="H479" s="26">
        <f>IFERROR(VLOOKUP(L479,CARTON_LOOKUP!$A:$E,5,0),"")</f>
      </c>
      <c r="I479" s="27">
        <f>IFERROR(VLOOKUP(L479,CARTON_LOOKUP!$A:$E,2,0),"")</f>
      </c>
      <c r="J479" s="15" t="s">
        <v>54</v>
      </c>
      <c r="K479" s="28">
        <v>0.21</v>
      </c>
      <c r="L479" s="15" t="s">
        <v>34</v>
      </c>
      <c r="M479" s="15" t="s">
        <v>101</v>
      </c>
      <c r="N479" s="15" t="s">
        <v>102</v>
      </c>
      <c r="O479" s="15" t="s">
        <v>103</v>
      </c>
      <c r="P479" s="15" t="s">
        <v>104</v>
      </c>
      <c r="Q479" s="15"/>
    </row>
    <row r="480" spans="1:17" x14ac:dyDescent="0.25">
      <c r="A480" s="14"/>
      <c r="B480" s="25"/>
      <c r="C480" s="25"/>
      <c r="D480" s="15"/>
      <c r="E480" s="15"/>
      <c r="F480" s="26">
        <f>IFERROR(VLOOKUP(L480,CARTON_LOOKUP!$A:$E,3,0),"")</f>
      </c>
      <c r="G480" s="26">
        <f>IFERROR(VLOOKUP(L480,CARTON_LOOKUP!$A:$E,4,0),"")</f>
      </c>
      <c r="H480" s="26">
        <f>IFERROR(VLOOKUP(L480,CARTON_LOOKUP!$A:$E,5,0),"")</f>
      </c>
      <c r="I480" s="27">
        <f>IFERROR(VLOOKUP(L480,CARTON_LOOKUP!$A:$E,2,0),"")</f>
      </c>
      <c r="J480" s="15" t="s">
        <v>54</v>
      </c>
      <c r="K480" s="28">
        <v>0.21</v>
      </c>
      <c r="L480" s="15" t="s">
        <v>34</v>
      </c>
      <c r="M480" s="15" t="s">
        <v>101</v>
      </c>
      <c r="N480" s="15" t="s">
        <v>102</v>
      </c>
      <c r="O480" s="15" t="s">
        <v>103</v>
      </c>
      <c r="P480" s="15" t="s">
        <v>104</v>
      </c>
      <c r="Q480" s="15"/>
    </row>
    <row r="481" spans="1:17" x14ac:dyDescent="0.25">
      <c r="A481" s="14"/>
      <c r="B481" s="25"/>
      <c r="C481" s="25"/>
      <c r="D481" s="15"/>
      <c r="E481" s="15"/>
      <c r="F481" s="26">
        <f>IFERROR(VLOOKUP(L481,CARTON_LOOKUP!$A:$E,3,0),"")</f>
      </c>
      <c r="G481" s="26">
        <f>IFERROR(VLOOKUP(L481,CARTON_LOOKUP!$A:$E,4,0),"")</f>
      </c>
      <c r="H481" s="26">
        <f>IFERROR(VLOOKUP(L481,CARTON_LOOKUP!$A:$E,5,0),"")</f>
      </c>
      <c r="I481" s="27">
        <f>IFERROR(VLOOKUP(L481,CARTON_LOOKUP!$A:$E,2,0),"")</f>
      </c>
      <c r="J481" s="15" t="s">
        <v>54</v>
      </c>
      <c r="K481" s="28">
        <v>0.21</v>
      </c>
      <c r="L481" s="15" t="s">
        <v>34</v>
      </c>
      <c r="M481" s="15" t="s">
        <v>101</v>
      </c>
      <c r="N481" s="15" t="s">
        <v>102</v>
      </c>
      <c r="O481" s="15" t="s">
        <v>103</v>
      </c>
      <c r="P481" s="15" t="s">
        <v>104</v>
      </c>
      <c r="Q481" s="15"/>
    </row>
    <row r="482" spans="1:17" x14ac:dyDescent="0.25">
      <c r="A482" s="14"/>
      <c r="B482" s="25"/>
      <c r="C482" s="25"/>
      <c r="D482" s="15"/>
      <c r="E482" s="15"/>
      <c r="F482" s="26">
        <f>IFERROR(VLOOKUP(L482,CARTON_LOOKUP!$A:$E,3,0),"")</f>
      </c>
      <c r="G482" s="26">
        <f>IFERROR(VLOOKUP(L482,CARTON_LOOKUP!$A:$E,4,0),"")</f>
      </c>
      <c r="H482" s="26">
        <f>IFERROR(VLOOKUP(L482,CARTON_LOOKUP!$A:$E,5,0),"")</f>
      </c>
      <c r="I482" s="27">
        <f>IFERROR(VLOOKUP(L482,CARTON_LOOKUP!$A:$E,2,0),"")</f>
      </c>
      <c r="J482" s="15" t="s">
        <v>54</v>
      </c>
      <c r="K482" s="28">
        <v>0.21</v>
      </c>
      <c r="L482" s="15" t="s">
        <v>34</v>
      </c>
      <c r="M482" s="15" t="s">
        <v>101</v>
      </c>
      <c r="N482" s="15" t="s">
        <v>102</v>
      </c>
      <c r="O482" s="15" t="s">
        <v>103</v>
      </c>
      <c r="P482" s="15" t="s">
        <v>104</v>
      </c>
      <c r="Q482" s="15"/>
    </row>
    <row r="483" spans="1:17" x14ac:dyDescent="0.25">
      <c r="A483" s="14"/>
      <c r="B483" s="25"/>
      <c r="C483" s="25"/>
      <c r="D483" s="15"/>
      <c r="E483" s="15"/>
      <c r="F483" s="26">
        <f>IFERROR(VLOOKUP(L483,CARTON_LOOKUP!$A:$E,3,0),"")</f>
      </c>
      <c r="G483" s="26">
        <f>IFERROR(VLOOKUP(L483,CARTON_LOOKUP!$A:$E,4,0),"")</f>
      </c>
      <c r="H483" s="26">
        <f>IFERROR(VLOOKUP(L483,CARTON_LOOKUP!$A:$E,5,0),"")</f>
      </c>
      <c r="I483" s="27">
        <f>IFERROR(VLOOKUP(L483,CARTON_LOOKUP!$A:$E,2,0),"")</f>
      </c>
      <c r="J483" s="15" t="s">
        <v>54</v>
      </c>
      <c r="K483" s="28">
        <v>0.21</v>
      </c>
      <c r="L483" s="15" t="s">
        <v>34</v>
      </c>
      <c r="M483" s="15" t="s">
        <v>101</v>
      </c>
      <c r="N483" s="15" t="s">
        <v>102</v>
      </c>
      <c r="O483" s="15" t="s">
        <v>103</v>
      </c>
      <c r="P483" s="15" t="s">
        <v>104</v>
      </c>
      <c r="Q483" s="15"/>
    </row>
    <row r="484" spans="1:17" x14ac:dyDescent="0.25">
      <c r="A484" s="14"/>
      <c r="B484" s="25"/>
      <c r="C484" s="25"/>
      <c r="D484" s="15"/>
      <c r="E484" s="15"/>
      <c r="F484" s="26">
        <f>IFERROR(VLOOKUP(L484,CARTON_LOOKUP!$A:$E,3,0),"")</f>
      </c>
      <c r="G484" s="26">
        <f>IFERROR(VLOOKUP(L484,CARTON_LOOKUP!$A:$E,4,0),"")</f>
      </c>
      <c r="H484" s="26">
        <f>IFERROR(VLOOKUP(L484,CARTON_LOOKUP!$A:$E,5,0),"")</f>
      </c>
      <c r="I484" s="27">
        <f>IFERROR(VLOOKUP(L484,CARTON_LOOKUP!$A:$E,2,0),"")</f>
      </c>
      <c r="J484" s="15" t="s">
        <v>54</v>
      </c>
      <c r="K484" s="28">
        <v>0.21</v>
      </c>
      <c r="L484" s="15" t="s">
        <v>34</v>
      </c>
      <c r="M484" s="15" t="s">
        <v>101</v>
      </c>
      <c r="N484" s="15" t="s">
        <v>102</v>
      </c>
      <c r="O484" s="15" t="s">
        <v>103</v>
      </c>
      <c r="P484" s="15" t="s">
        <v>104</v>
      </c>
      <c r="Q484" s="15"/>
    </row>
    <row r="485" spans="1:17" x14ac:dyDescent="0.25">
      <c r="A485" s="14"/>
      <c r="B485" s="25"/>
      <c r="C485" s="25"/>
      <c r="D485" s="15"/>
      <c r="E485" s="15"/>
      <c r="F485" s="26">
        <f>IFERROR(VLOOKUP(L485,CARTON_LOOKUP!$A:$E,3,0),"")</f>
      </c>
      <c r="G485" s="26">
        <f>IFERROR(VLOOKUP(L485,CARTON_LOOKUP!$A:$E,4,0),"")</f>
      </c>
      <c r="H485" s="26">
        <f>IFERROR(VLOOKUP(L485,CARTON_LOOKUP!$A:$E,5,0),"")</f>
      </c>
      <c r="I485" s="27">
        <f>IFERROR(VLOOKUP(L485,CARTON_LOOKUP!$A:$E,2,0),"")</f>
      </c>
      <c r="J485" s="15" t="s">
        <v>54</v>
      </c>
      <c r="K485" s="28">
        <v>0.21</v>
      </c>
      <c r="L485" s="15" t="s">
        <v>34</v>
      </c>
      <c r="M485" s="15" t="s">
        <v>101</v>
      </c>
      <c r="N485" s="15" t="s">
        <v>102</v>
      </c>
      <c r="O485" s="15" t="s">
        <v>103</v>
      </c>
      <c r="P485" s="15" t="s">
        <v>104</v>
      </c>
      <c r="Q485" s="15"/>
    </row>
    <row r="486" spans="1:17" x14ac:dyDescent="0.25">
      <c r="A486" s="14"/>
      <c r="B486" s="25"/>
      <c r="C486" s="25"/>
      <c r="D486" s="15"/>
      <c r="E486" s="15"/>
      <c r="F486" s="26">
        <f>IFERROR(VLOOKUP(L486,CARTON_LOOKUP!$A:$E,3,0),"")</f>
      </c>
      <c r="G486" s="26">
        <f>IFERROR(VLOOKUP(L486,CARTON_LOOKUP!$A:$E,4,0),"")</f>
      </c>
      <c r="H486" s="26">
        <f>IFERROR(VLOOKUP(L486,CARTON_LOOKUP!$A:$E,5,0),"")</f>
      </c>
      <c r="I486" s="27">
        <f>IFERROR(VLOOKUP(L486,CARTON_LOOKUP!$A:$E,2,0),"")</f>
      </c>
      <c r="J486" s="15" t="s">
        <v>54</v>
      </c>
      <c r="K486" s="28">
        <v>0.21</v>
      </c>
      <c r="L486" s="15" t="s">
        <v>34</v>
      </c>
      <c r="M486" s="15" t="s">
        <v>101</v>
      </c>
      <c r="N486" s="15" t="s">
        <v>102</v>
      </c>
      <c r="O486" s="15" t="s">
        <v>103</v>
      </c>
      <c r="P486" s="15" t="s">
        <v>104</v>
      </c>
      <c r="Q486" s="15"/>
    </row>
    <row r="487" spans="1:17" x14ac:dyDescent="0.25">
      <c r="A487" s="14"/>
      <c r="B487" s="25"/>
      <c r="C487" s="25"/>
      <c r="D487" s="15"/>
      <c r="E487" s="15"/>
      <c r="F487" s="26">
        <f>IFERROR(VLOOKUP(L487,CARTON_LOOKUP!$A:$E,3,0),"")</f>
      </c>
      <c r="G487" s="26">
        <f>IFERROR(VLOOKUP(L487,CARTON_LOOKUP!$A:$E,4,0),"")</f>
      </c>
      <c r="H487" s="26">
        <f>IFERROR(VLOOKUP(L487,CARTON_LOOKUP!$A:$E,5,0),"")</f>
      </c>
      <c r="I487" s="27">
        <f>IFERROR(VLOOKUP(L487,CARTON_LOOKUP!$A:$E,2,0),"")</f>
      </c>
      <c r="J487" s="15" t="s">
        <v>54</v>
      </c>
      <c r="K487" s="28">
        <v>0.21</v>
      </c>
      <c r="L487" s="15" t="s">
        <v>34</v>
      </c>
      <c r="M487" s="15" t="s">
        <v>101</v>
      </c>
      <c r="N487" s="15" t="s">
        <v>102</v>
      </c>
      <c r="O487" s="15" t="s">
        <v>103</v>
      </c>
      <c r="P487" s="15" t="s">
        <v>104</v>
      </c>
      <c r="Q487" s="15"/>
    </row>
    <row r="488" spans="1:17" x14ac:dyDescent="0.25">
      <c r="A488" s="14"/>
      <c r="B488" s="25"/>
      <c r="C488" s="25"/>
      <c r="D488" s="15"/>
      <c r="E488" s="15"/>
      <c r="F488" s="26">
        <f>IFERROR(VLOOKUP(L488,CARTON_LOOKUP!$A:$E,3,0),"")</f>
      </c>
      <c r="G488" s="26">
        <f>IFERROR(VLOOKUP(L488,CARTON_LOOKUP!$A:$E,4,0),"")</f>
      </c>
      <c r="H488" s="26">
        <f>IFERROR(VLOOKUP(L488,CARTON_LOOKUP!$A:$E,5,0),"")</f>
      </c>
      <c r="I488" s="27">
        <f>IFERROR(VLOOKUP(L488,CARTON_LOOKUP!$A:$E,2,0),"")</f>
      </c>
      <c r="J488" s="15" t="s">
        <v>54</v>
      </c>
      <c r="K488" s="28">
        <v>0.21</v>
      </c>
      <c r="L488" s="15" t="s">
        <v>34</v>
      </c>
      <c r="M488" s="15" t="s">
        <v>101</v>
      </c>
      <c r="N488" s="15" t="s">
        <v>102</v>
      </c>
      <c r="O488" s="15" t="s">
        <v>103</v>
      </c>
      <c r="P488" s="15" t="s">
        <v>104</v>
      </c>
      <c r="Q488" s="15"/>
    </row>
    <row r="489" spans="1:17" x14ac:dyDescent="0.25">
      <c r="A489" s="14"/>
      <c r="B489" s="25"/>
      <c r="C489" s="25"/>
      <c r="D489" s="15"/>
      <c r="E489" s="15"/>
      <c r="F489" s="26">
        <f>IFERROR(VLOOKUP(L489,CARTON_LOOKUP!$A:$E,3,0),"")</f>
      </c>
      <c r="G489" s="26">
        <f>IFERROR(VLOOKUP(L489,CARTON_LOOKUP!$A:$E,4,0),"")</f>
      </c>
      <c r="H489" s="26">
        <f>IFERROR(VLOOKUP(L489,CARTON_LOOKUP!$A:$E,5,0),"")</f>
      </c>
      <c r="I489" s="27">
        <f>IFERROR(VLOOKUP(L489,CARTON_LOOKUP!$A:$E,2,0),"")</f>
      </c>
      <c r="J489" s="15" t="s">
        <v>54</v>
      </c>
      <c r="K489" s="28">
        <v>0.21</v>
      </c>
      <c r="L489" s="15" t="s">
        <v>34</v>
      </c>
      <c r="M489" s="15" t="s">
        <v>101</v>
      </c>
      <c r="N489" s="15" t="s">
        <v>102</v>
      </c>
      <c r="O489" s="15" t="s">
        <v>103</v>
      </c>
      <c r="P489" s="15" t="s">
        <v>104</v>
      </c>
      <c r="Q489" s="15"/>
    </row>
    <row r="490" spans="1:17" x14ac:dyDescent="0.25">
      <c r="A490" s="14"/>
      <c r="B490" s="25"/>
      <c r="C490" s="25"/>
      <c r="D490" s="15"/>
      <c r="E490" s="15"/>
      <c r="F490" s="26">
        <f>IFERROR(VLOOKUP(L490,CARTON_LOOKUP!$A:$E,3,0),"")</f>
      </c>
      <c r="G490" s="26">
        <f>IFERROR(VLOOKUP(L490,CARTON_LOOKUP!$A:$E,4,0),"")</f>
      </c>
      <c r="H490" s="26">
        <f>IFERROR(VLOOKUP(L490,CARTON_LOOKUP!$A:$E,5,0),"")</f>
      </c>
      <c r="I490" s="27">
        <f>IFERROR(VLOOKUP(L490,CARTON_LOOKUP!$A:$E,2,0),"")</f>
      </c>
      <c r="J490" s="15" t="s">
        <v>54</v>
      </c>
      <c r="K490" s="28">
        <v>0.21</v>
      </c>
      <c r="L490" s="15" t="s">
        <v>34</v>
      </c>
      <c r="M490" s="15" t="s">
        <v>101</v>
      </c>
      <c r="N490" s="15" t="s">
        <v>102</v>
      </c>
      <c r="O490" s="15" t="s">
        <v>103</v>
      </c>
      <c r="P490" s="15" t="s">
        <v>104</v>
      </c>
      <c r="Q490" s="15"/>
    </row>
    <row r="491" spans="1:17" x14ac:dyDescent="0.25">
      <c r="A491" s="14"/>
      <c r="B491" s="25"/>
      <c r="C491" s="25"/>
      <c r="D491" s="15"/>
      <c r="E491" s="15"/>
      <c r="F491" s="26">
        <f>IFERROR(VLOOKUP(L491,CARTON_LOOKUP!$A:$E,3,0),"")</f>
      </c>
      <c r="G491" s="26">
        <f>IFERROR(VLOOKUP(L491,CARTON_LOOKUP!$A:$E,4,0),"")</f>
      </c>
      <c r="H491" s="26">
        <f>IFERROR(VLOOKUP(L491,CARTON_LOOKUP!$A:$E,5,0),"")</f>
      </c>
      <c r="I491" s="27">
        <f>IFERROR(VLOOKUP(L491,CARTON_LOOKUP!$A:$E,2,0),"")</f>
      </c>
      <c r="J491" s="15" t="s">
        <v>54</v>
      </c>
      <c r="K491" s="28">
        <v>0.21</v>
      </c>
      <c r="L491" s="15" t="s">
        <v>34</v>
      </c>
      <c r="M491" s="15" t="s">
        <v>101</v>
      </c>
      <c r="N491" s="15" t="s">
        <v>102</v>
      </c>
      <c r="O491" s="15" t="s">
        <v>103</v>
      </c>
      <c r="P491" s="15" t="s">
        <v>104</v>
      </c>
      <c r="Q491" s="15"/>
    </row>
    <row r="492" spans="1:17" x14ac:dyDescent="0.25">
      <c r="A492" s="14"/>
      <c r="B492" s="25"/>
      <c r="C492" s="25"/>
      <c r="D492" s="15"/>
      <c r="E492" s="15"/>
      <c r="F492" s="26">
        <f>IFERROR(VLOOKUP(L492,CARTON_LOOKUP!$A:$E,3,0),"")</f>
      </c>
      <c r="G492" s="26">
        <f>IFERROR(VLOOKUP(L492,CARTON_LOOKUP!$A:$E,4,0),"")</f>
      </c>
      <c r="H492" s="26">
        <f>IFERROR(VLOOKUP(L492,CARTON_LOOKUP!$A:$E,5,0),"")</f>
      </c>
      <c r="I492" s="27">
        <f>IFERROR(VLOOKUP(L492,CARTON_LOOKUP!$A:$E,2,0),"")</f>
      </c>
      <c r="J492" s="15" t="s">
        <v>54</v>
      </c>
      <c r="K492" s="28">
        <v>0.21</v>
      </c>
      <c r="L492" s="15" t="s">
        <v>34</v>
      </c>
      <c r="M492" s="15" t="s">
        <v>101</v>
      </c>
      <c r="N492" s="15" t="s">
        <v>102</v>
      </c>
      <c r="O492" s="15" t="s">
        <v>103</v>
      </c>
      <c r="P492" s="15" t="s">
        <v>104</v>
      </c>
      <c r="Q492" s="15"/>
    </row>
    <row r="493" spans="1:17" x14ac:dyDescent="0.25">
      <c r="A493" s="14"/>
      <c r="B493" s="25"/>
      <c r="C493" s="25"/>
      <c r="D493" s="15"/>
      <c r="E493" s="15"/>
      <c r="F493" s="26">
        <f>IFERROR(VLOOKUP(L493,CARTON_LOOKUP!$A:$E,3,0),"")</f>
      </c>
      <c r="G493" s="26">
        <f>IFERROR(VLOOKUP(L493,CARTON_LOOKUP!$A:$E,4,0),"")</f>
      </c>
      <c r="H493" s="26">
        <f>IFERROR(VLOOKUP(L493,CARTON_LOOKUP!$A:$E,5,0),"")</f>
      </c>
      <c r="I493" s="27">
        <f>IFERROR(VLOOKUP(L493,CARTON_LOOKUP!$A:$E,2,0),"")</f>
      </c>
      <c r="J493" s="15" t="s">
        <v>54</v>
      </c>
      <c r="K493" s="28">
        <v>0.21</v>
      </c>
      <c r="L493" s="15" t="s">
        <v>34</v>
      </c>
      <c r="M493" s="15" t="s">
        <v>101</v>
      </c>
      <c r="N493" s="15" t="s">
        <v>102</v>
      </c>
      <c r="O493" s="15" t="s">
        <v>103</v>
      </c>
      <c r="P493" s="15" t="s">
        <v>104</v>
      </c>
      <c r="Q493" s="15"/>
    </row>
    <row r="494" spans="1:17" x14ac:dyDescent="0.25">
      <c r="A494" s="14"/>
      <c r="B494" s="25"/>
      <c r="C494" s="25"/>
      <c r="D494" s="15"/>
      <c r="E494" s="15"/>
      <c r="F494" s="26">
        <f>IFERROR(VLOOKUP(L494,CARTON_LOOKUP!$A:$E,3,0),"")</f>
      </c>
      <c r="G494" s="26">
        <f>IFERROR(VLOOKUP(L494,CARTON_LOOKUP!$A:$E,4,0),"")</f>
      </c>
      <c r="H494" s="26">
        <f>IFERROR(VLOOKUP(L494,CARTON_LOOKUP!$A:$E,5,0),"")</f>
      </c>
      <c r="I494" s="27">
        <f>IFERROR(VLOOKUP(L494,CARTON_LOOKUP!$A:$E,2,0),"")</f>
      </c>
      <c r="J494" s="15" t="s">
        <v>54</v>
      </c>
      <c r="K494" s="28">
        <v>0.21</v>
      </c>
      <c r="L494" s="15" t="s">
        <v>34</v>
      </c>
      <c r="M494" s="15" t="s">
        <v>101</v>
      </c>
      <c r="N494" s="15" t="s">
        <v>102</v>
      </c>
      <c r="O494" s="15" t="s">
        <v>103</v>
      </c>
      <c r="P494" s="15" t="s">
        <v>104</v>
      </c>
      <c r="Q494" s="15"/>
    </row>
    <row r="495" spans="1:17" x14ac:dyDescent="0.25">
      <c r="A495" s="14"/>
      <c r="B495" s="25"/>
      <c r="C495" s="25"/>
      <c r="D495" s="15"/>
      <c r="E495" s="15"/>
      <c r="F495" s="26">
        <f>IFERROR(VLOOKUP(L495,CARTON_LOOKUP!$A:$E,3,0),"")</f>
      </c>
      <c r="G495" s="26">
        <f>IFERROR(VLOOKUP(L495,CARTON_LOOKUP!$A:$E,4,0),"")</f>
      </c>
      <c r="H495" s="26">
        <f>IFERROR(VLOOKUP(L495,CARTON_LOOKUP!$A:$E,5,0),"")</f>
      </c>
      <c r="I495" s="27">
        <f>IFERROR(VLOOKUP(L495,CARTON_LOOKUP!$A:$E,2,0),"")</f>
      </c>
      <c r="J495" s="15" t="s">
        <v>54</v>
      </c>
      <c r="K495" s="28">
        <v>0.21</v>
      </c>
      <c r="L495" s="15" t="s">
        <v>34</v>
      </c>
      <c r="M495" s="15" t="s">
        <v>101</v>
      </c>
      <c r="N495" s="15" t="s">
        <v>102</v>
      </c>
      <c r="O495" s="15" t="s">
        <v>103</v>
      </c>
      <c r="P495" s="15" t="s">
        <v>104</v>
      </c>
      <c r="Q495" s="15"/>
    </row>
    <row r="496" spans="1:17" x14ac:dyDescent="0.25">
      <c r="A496" s="14"/>
      <c r="B496" s="25"/>
      <c r="C496" s="25"/>
      <c r="D496" s="15"/>
      <c r="E496" s="15"/>
      <c r="F496" s="26">
        <f>IFERROR(VLOOKUP(L496,CARTON_LOOKUP!$A:$E,3,0),"")</f>
      </c>
      <c r="G496" s="26">
        <f>IFERROR(VLOOKUP(L496,CARTON_LOOKUP!$A:$E,4,0),"")</f>
      </c>
      <c r="H496" s="26">
        <f>IFERROR(VLOOKUP(L496,CARTON_LOOKUP!$A:$E,5,0),"")</f>
      </c>
      <c r="I496" s="27">
        <f>IFERROR(VLOOKUP(L496,CARTON_LOOKUP!$A:$E,2,0),"")</f>
      </c>
      <c r="J496" s="15" t="s">
        <v>54</v>
      </c>
      <c r="K496" s="28">
        <v>0.21</v>
      </c>
      <c r="L496" s="15" t="s">
        <v>34</v>
      </c>
      <c r="M496" s="15" t="s">
        <v>101</v>
      </c>
      <c r="N496" s="15" t="s">
        <v>102</v>
      </c>
      <c r="O496" s="15" t="s">
        <v>103</v>
      </c>
      <c r="P496" s="15" t="s">
        <v>104</v>
      </c>
      <c r="Q496" s="15"/>
    </row>
    <row r="497" spans="1:17" x14ac:dyDescent="0.25">
      <c r="A497" s="14"/>
      <c r="B497" s="25"/>
      <c r="C497" s="25"/>
      <c r="D497" s="15"/>
      <c r="E497" s="15"/>
      <c r="F497" s="26">
        <f>IFERROR(VLOOKUP(L497,CARTON_LOOKUP!$A:$E,3,0),"")</f>
      </c>
      <c r="G497" s="26">
        <f>IFERROR(VLOOKUP(L497,CARTON_LOOKUP!$A:$E,4,0),"")</f>
      </c>
      <c r="H497" s="26">
        <f>IFERROR(VLOOKUP(L497,CARTON_LOOKUP!$A:$E,5,0),"")</f>
      </c>
      <c r="I497" s="27">
        <f>IFERROR(VLOOKUP(L497,CARTON_LOOKUP!$A:$E,2,0),"")</f>
      </c>
      <c r="J497" s="15" t="s">
        <v>54</v>
      </c>
      <c r="K497" s="28">
        <v>0.21</v>
      </c>
      <c r="L497" s="15" t="s">
        <v>34</v>
      </c>
      <c r="M497" s="15" t="s">
        <v>101</v>
      </c>
      <c r="N497" s="15" t="s">
        <v>102</v>
      </c>
      <c r="O497" s="15" t="s">
        <v>103</v>
      </c>
      <c r="P497" s="15" t="s">
        <v>104</v>
      </c>
      <c r="Q497" s="15"/>
    </row>
    <row r="498" spans="1:17" x14ac:dyDescent="0.25">
      <c r="A498" s="14"/>
      <c r="B498" s="25"/>
      <c r="C498" s="25"/>
      <c r="D498" s="15"/>
      <c r="E498" s="15"/>
      <c r="F498" s="26">
        <f>IFERROR(VLOOKUP(L498,CARTON_LOOKUP!$A:$E,3,0),"")</f>
      </c>
      <c r="G498" s="26">
        <f>IFERROR(VLOOKUP(L498,CARTON_LOOKUP!$A:$E,4,0),"")</f>
      </c>
      <c r="H498" s="26">
        <f>IFERROR(VLOOKUP(L498,CARTON_LOOKUP!$A:$E,5,0),"")</f>
      </c>
      <c r="I498" s="27">
        <f>IFERROR(VLOOKUP(L498,CARTON_LOOKUP!$A:$E,2,0),"")</f>
      </c>
      <c r="J498" s="15" t="s">
        <v>54</v>
      </c>
      <c r="K498" s="28">
        <v>0.21</v>
      </c>
      <c r="L498" s="15" t="s">
        <v>34</v>
      </c>
      <c r="M498" s="15" t="s">
        <v>101</v>
      </c>
      <c r="N498" s="15" t="s">
        <v>102</v>
      </c>
      <c r="O498" s="15" t="s">
        <v>103</v>
      </c>
      <c r="P498" s="15" t="s">
        <v>104</v>
      </c>
      <c r="Q498" s="15"/>
    </row>
    <row r="499" spans="1:17" x14ac:dyDescent="0.25">
      <c r="A499" s="14"/>
      <c r="B499" s="25"/>
      <c r="C499" s="25"/>
      <c r="D499" s="15"/>
      <c r="E499" s="15"/>
      <c r="F499" s="26">
        <f>IFERROR(VLOOKUP(L499,CARTON_LOOKUP!$A:$E,3,0),"")</f>
      </c>
      <c r="G499" s="26">
        <f>IFERROR(VLOOKUP(L499,CARTON_LOOKUP!$A:$E,4,0),"")</f>
      </c>
      <c r="H499" s="26">
        <f>IFERROR(VLOOKUP(L499,CARTON_LOOKUP!$A:$E,5,0),"")</f>
      </c>
      <c r="I499" s="27">
        <f>IFERROR(VLOOKUP(L499,CARTON_LOOKUP!$A:$E,2,0),"")</f>
      </c>
      <c r="J499" s="15" t="s">
        <v>54</v>
      </c>
      <c r="K499" s="28">
        <v>0.21</v>
      </c>
      <c r="L499" s="15" t="s">
        <v>34</v>
      </c>
      <c r="M499" s="15" t="s">
        <v>101</v>
      </c>
      <c r="N499" s="15" t="s">
        <v>102</v>
      </c>
      <c r="O499" s="15" t="s">
        <v>103</v>
      </c>
      <c r="P499" s="15" t="s">
        <v>104</v>
      </c>
      <c r="Q499" s="15"/>
    </row>
    <row r="500" spans="1:17" x14ac:dyDescent="0.25">
      <c r="A500" s="14"/>
      <c r="B500" s="25"/>
      <c r="C500" s="25"/>
      <c r="D500" s="15"/>
      <c r="E500" s="15"/>
      <c r="F500" s="26">
        <f>IFERROR(VLOOKUP(L500,CARTON_LOOKUP!$A:$E,3,0),"")</f>
      </c>
      <c r="G500" s="26">
        <f>IFERROR(VLOOKUP(L500,CARTON_LOOKUP!$A:$E,4,0),"")</f>
      </c>
      <c r="H500" s="26">
        <f>IFERROR(VLOOKUP(L500,CARTON_LOOKUP!$A:$E,5,0),"")</f>
      </c>
      <c r="I500" s="27">
        <f>IFERROR(VLOOKUP(L500,CARTON_LOOKUP!$A:$E,2,0),"")</f>
      </c>
      <c r="J500" s="15" t="s">
        <v>54</v>
      </c>
      <c r="K500" s="28">
        <v>0.21</v>
      </c>
      <c r="L500" s="15" t="s">
        <v>34</v>
      </c>
      <c r="M500" s="15" t="s">
        <v>101</v>
      </c>
      <c r="N500" s="15" t="s">
        <v>102</v>
      </c>
      <c r="O500" s="15" t="s">
        <v>103</v>
      </c>
      <c r="P500" s="15" t="s">
        <v>104</v>
      </c>
      <c r="Q500" s="15"/>
    </row>
    <row r="501" spans="1:17" x14ac:dyDescent="0.25">
      <c r="A501" s="14"/>
      <c r="B501" s="25"/>
      <c r="C501" s="25"/>
      <c r="D501" s="15"/>
      <c r="E501" s="15"/>
      <c r="F501" s="26">
        <f>IFERROR(VLOOKUP(L501,CARTON_LOOKUP!$A:$E,3,0),"")</f>
      </c>
      <c r="G501" s="26">
        <f>IFERROR(VLOOKUP(L501,CARTON_LOOKUP!$A:$E,4,0),"")</f>
      </c>
      <c r="H501" s="26">
        <f>IFERROR(VLOOKUP(L501,CARTON_LOOKUP!$A:$E,5,0),"")</f>
      </c>
      <c r="I501" s="27">
        <f>IFERROR(VLOOKUP(L501,CARTON_LOOKUP!$A:$E,2,0),"")</f>
      </c>
      <c r="J501" s="15" t="s">
        <v>54</v>
      </c>
      <c r="K501" s="28">
        <v>0.21</v>
      </c>
      <c r="L501" s="15" t="s">
        <v>34</v>
      </c>
      <c r="M501" s="15" t="s">
        <v>101</v>
      </c>
      <c r="N501" s="15" t="s">
        <v>102</v>
      </c>
      <c r="O501" s="15" t="s">
        <v>103</v>
      </c>
      <c r="P501" s="15" t="s">
        <v>104</v>
      </c>
      <c r="Q501" s="15"/>
    </row>
    <row r="502" spans="1:17" x14ac:dyDescent="0.25">
      <c r="A502" s="14"/>
      <c r="B502" s="25"/>
      <c r="C502" s="25"/>
      <c r="D502" s="15"/>
      <c r="E502" s="15"/>
      <c r="F502" s="26">
        <f>IFERROR(VLOOKUP(L502,CARTON_LOOKUP!$A:$E,3,0),"")</f>
      </c>
      <c r="G502" s="26">
        <f>IFERROR(VLOOKUP(L502,CARTON_LOOKUP!$A:$E,4,0),"")</f>
      </c>
      <c r="H502" s="26">
        <f>IFERROR(VLOOKUP(L502,CARTON_LOOKUP!$A:$E,5,0),"")</f>
      </c>
      <c r="I502" s="27">
        <f>IFERROR(VLOOKUP(L502,CARTON_LOOKUP!$A:$E,2,0),"")</f>
      </c>
      <c r="J502" s="15" t="s">
        <v>54</v>
      </c>
      <c r="K502" s="28">
        <v>0.21</v>
      </c>
      <c r="L502" s="15" t="s">
        <v>34</v>
      </c>
      <c r="M502" s="15" t="s">
        <v>101</v>
      </c>
      <c r="N502" s="15" t="s">
        <v>102</v>
      </c>
      <c r="O502" s="15" t="s">
        <v>103</v>
      </c>
      <c r="P502" s="15" t="s">
        <v>104</v>
      </c>
      <c r="Q502" s="15"/>
    </row>
  </sheetData>
  <mergeCells count="4">
    <mergeCell ref="A1:E1"/>
    <mergeCell ref="F1:I1"/>
    <mergeCell ref="J1:P1"/>
    <mergeCell ref="Q1:R1"/>
  </mergeCells>
  <dataValidations count="522">
    <dataValidation type="textLength" operator="greaterThan" showErrorMessage="1" errorStyle="stop" errorTitle="Required" error="PO_Number cannot be blank" sqref="A10:A502">
      <formula1>0</formula1>
    </dataValidation>
    <dataValidation type="textLength" operator="greaterThan" showErrorMessage="1" errorStyle="stop" errorTitle="Required" error="PO_Number cannot be blank" sqref="A3:A502">
      <formula1>0</formula1>
    </dataValidation>
    <dataValidation type="date" operator="greaterThan" showInputMessage="1" promptTitle="Date format" prompt="DD/MM/YYYY" showErrorMessage="1" errorStyle="stop" errorTitle="Invalid date" error="Enter a valid date (DD/MM/YYYY)" sqref="B10:C502">
      <formula1>43831</formula1>
    </dataValidation>
    <dataValidation type="date" operator="greaterThan" showInputMessage="1" promptTitle="Date format" prompt="DD/MM/YYYY" showErrorMessage="1" errorStyle="stop" errorTitle="Invalid date" error="Enter a valid date (DD/MM/YYYY)" sqref="B3:C502">
      <formula1>43831</formula1>
    </dataValidation>
    <dataValidation type="whole" operator="greaterThan" showErrorMessage="1" errorStyle="stop" errorTitle="Booking Units required" error="Enter a whole number greater than 0 (no decimals)" sqref="D10:D502">
      <formula1>0</formula1>
    </dataValidation>
    <dataValidation type="whole" operator="greaterThan" showErrorMessage="1" errorStyle="stop" errorTitle="Booking Units required" error="Enter a whole number greater than 0 (no decimals)" sqref="D3:D502">
      <formula1>0</formula1>
    </dataValidation>
    <dataValidation type="whole" operator="greaterThan" showErrorMessage="1" errorStyle="stop" errorTitle="No of Cartons required" error="Enter a whole number greater than 0" sqref="E10:E502">
      <formula1>0</formula1>
    </dataValidation>
    <dataValidation type="whole" operator="greaterThan" showErrorMessage="1" errorStyle="stop" errorTitle="No of Cartons required" error="Enter a whole number greater than 0" sqref="E3:E502">
      <formula1>0</formula1>
    </dataValidation>
    <dataValidation type="list" allowBlank="1" showErrorMessage="1" errorStyle="stop" errorTitle="Invalid Booking Group" error="Select a Booking Group from the list, or leave the default &quot;Single Booking&quot;" sqref="J10:J502">
      <formula1>LISTS_LOOKUP!$A$2:$A$28</formula1>
    </dataValidation>
    <dataValidation type="list" allowBlank="1" showErrorMessage="1" errorStyle="stop" errorTitle="Invalid Booking Group" error="Select a Booking Group from the list, or leave the default &quot;Single Booking&quot;" sqref="J3:J502">
      <formula1>LISTS_LOOKUP!$A$2:$A$28</formula1>
    </dataValidation>
    <dataValidation type="decimal" operator="greaterThan" allowBlank="1" showErrorMessage="1" errorStyle="stop" errorTitle="Invalid Unit Weight" error="Enter a positive weight in KG (e.g. 0.21), or leave the pre-filled default" sqref="K10:K502">
      <formula1>0</formula1>
    </dataValidation>
    <dataValidation type="decimal" operator="greaterThan" allowBlank="1" showErrorMessage="1" errorStyle="stop" errorTitle="Invalid Unit Weight" error="Enter a positive weight in KG (e.g. 0.21), or leave the pre-filled default" sqref="K3:K502">
      <formula1>0</formula1>
    </dataValidation>
    <dataValidation type="list" showErrorMessage="1" errorStyle="stop" errorTitle="Invalid Carton Type" error="Select a carton type from the list" sqref="L10:L502">
      <formula1>CARTON_LOOKUP!$A$2:$A$20</formula1>
    </dataValidation>
    <dataValidation type="list" showErrorMessage="1" errorStyle="stop" errorTitle="Invalid Carton Type" error="Select a carton type from the list" sqref="L3:L502">
      <formula1>CARTON_LOOKUP!$A$2:$A$20</formula1>
    </dataValidation>
    <dataValidation type="list" showErrorMessage="1" errorStyle="stop" errorTitle="Invalid Pack Type" error="Select Flat, Bulk Flat or Hanging" sqref="M10:M502">
      <formula1>"Flat,Bulk Flat,Hanging"</formula1>
    </dataValidation>
    <dataValidation type="list" showErrorMessage="1" errorStyle="stop" errorTitle="Invalid Pack Type" error="Select Flat, Bulk Flat or Hanging" sqref="M3:M502">
      <formula1>"Flat,Bulk Flat,Hanging"</formula1>
    </dataValidation>
    <dataValidation type="list" showErrorMessage="1" errorStyle="stop" errorTitle="Invalid Collection Type" error="Select Collection or Delivery" sqref="N10:N502">
      <formula1>"Collection,Delivery"</formula1>
    </dataValidation>
    <dataValidation type="list" showErrorMessage="1" errorStyle="stop" errorTitle="Invalid Collection Type" error="Select Collection or Delivery" sqref="N3:N502">
      <formula1>"Collection,Delivery"</formula1>
    </dataValidation>
    <dataValidation type="list" showErrorMessage="1" errorStyle="stop" errorTitle="Invalid Hazardous" error="Select a hazardous classification" sqref="O10:O502">
      <formula1>"Flammable,Glass - Hazardous,Hazardous,N/A"</formula1>
    </dataValidation>
    <dataValidation type="list" showErrorMessage="1" errorStyle="stop" errorTitle="Invalid Hazardous" error="Select a hazardous classification" sqref="O3:O502">
      <formula1>"Flammable,Glass - Hazardous,Hazardous,N/A"</formula1>
    </dataValidation>
    <dataValidation type="list" showErrorMessage="1" errorStyle="stop" errorTitle="Invalid Traffic Mode" error="Select CFS or CY" sqref="P10:P502">
      <formula1>"CFS,CY"</formula1>
    </dataValidation>
    <dataValidation type="list" showErrorMessage="1" errorStyle="stop" errorTitle="Invalid Traffic Mode" error="Select CFS or CY" sqref="P3:P502">
      <formula1>"CFS,CY"</formula1>
    </dataValidation>
    <dataValidation type="custom" showErrorMessage="1" errorStyle="stop" errorTitle="Invalid Time" error="Enter time as HH:MM (e.g. 09:30) or leave blank" sqref="Q10">
      <formula1>OR(Q10="",AND(LEN(Q10)=5,MID(Q10,3,1)=":",ISNUMBER(VALUE(LEFT(Q10,2))),ISNUMBER(VALUE(RIGHT(Q10,2))),VALUE(LEFT(Q10,2))&lt;=23,VALUE(RIGHT(Q10,2))&lt;=59))</formula1>
    </dataValidation>
    <dataValidation type="custom" showErrorMessage="1" errorStyle="stop" errorTitle="Invalid Time" error="Enter time as HH:MM (e.g. 09:30) or leave blank" sqref="Q100">
      <formula1>OR(Q100="",AND(LEN(Q100)=5,MID(Q100,3,1)=":",ISNUMBER(VALUE(LEFT(Q100,2))),ISNUMBER(VALUE(RIGHT(Q100,2))),VALUE(LEFT(Q100,2))&lt;=23,VALUE(RIGHT(Q100,2))&lt;=59))</formula1>
    </dataValidation>
    <dataValidation type="custom" showErrorMessage="1" errorStyle="stop" errorTitle="Invalid Time" error="Enter time as HH:MM (e.g. 09:30) or leave blank" sqref="Q101">
      <formula1>OR(Q101="",AND(LEN(Q101)=5,MID(Q101,3,1)=":",ISNUMBER(VALUE(LEFT(Q101,2))),ISNUMBER(VALUE(RIGHT(Q101,2))),VALUE(LEFT(Q101,2))&lt;=23,VALUE(RIGHT(Q101,2))&lt;=59))</formula1>
    </dataValidation>
    <dataValidation type="custom" showErrorMessage="1" errorStyle="stop" errorTitle="Invalid Time" error="Enter time as HH:MM (e.g. 09:30) or leave blank" sqref="Q102">
      <formula1>OR(Q102="",AND(LEN(Q102)=5,MID(Q102,3,1)=":",ISNUMBER(VALUE(LEFT(Q102,2))),ISNUMBER(VALUE(RIGHT(Q102,2))),VALUE(LEFT(Q102,2))&lt;=23,VALUE(RIGHT(Q102,2))&lt;=59))</formula1>
    </dataValidation>
    <dataValidation type="custom" showErrorMessage="1" errorStyle="stop" errorTitle="Invalid Time" error="Enter time as HH:MM (e.g. 09:30) or leave blank" sqref="Q103">
      <formula1>OR(Q103="",AND(LEN(Q103)=5,MID(Q103,3,1)=":",ISNUMBER(VALUE(LEFT(Q103,2))),ISNUMBER(VALUE(RIGHT(Q103,2))),VALUE(LEFT(Q103,2))&lt;=23,VALUE(RIGHT(Q103,2))&lt;=59))</formula1>
    </dataValidation>
    <dataValidation type="custom" showErrorMessage="1" errorStyle="stop" errorTitle="Invalid Time" error="Enter time as HH:MM (e.g. 09:30) or leave blank" sqref="Q104">
      <formula1>OR(Q104="",AND(LEN(Q104)=5,MID(Q104,3,1)=":",ISNUMBER(VALUE(LEFT(Q104,2))),ISNUMBER(VALUE(RIGHT(Q104,2))),VALUE(LEFT(Q104,2))&lt;=23,VALUE(RIGHT(Q104,2))&lt;=59))</formula1>
    </dataValidation>
    <dataValidation type="custom" showErrorMessage="1" errorStyle="stop" errorTitle="Invalid Time" error="Enter time as HH:MM (e.g. 09:30) or leave blank" sqref="Q105">
      <formula1>OR(Q105="",AND(LEN(Q105)=5,MID(Q105,3,1)=":",ISNUMBER(VALUE(LEFT(Q105,2))),ISNUMBER(VALUE(RIGHT(Q105,2))),VALUE(LEFT(Q105,2))&lt;=23,VALUE(RIGHT(Q105,2))&lt;=59))</formula1>
    </dataValidation>
    <dataValidation type="custom" showErrorMessage="1" errorStyle="stop" errorTitle="Invalid Time" error="Enter time as HH:MM (e.g. 09:30) or leave blank" sqref="Q106">
      <formula1>OR(Q106="",AND(LEN(Q106)=5,MID(Q106,3,1)=":",ISNUMBER(VALUE(LEFT(Q106,2))),ISNUMBER(VALUE(RIGHT(Q106,2))),VALUE(LEFT(Q106,2))&lt;=23,VALUE(RIGHT(Q106,2))&lt;=59))</formula1>
    </dataValidation>
    <dataValidation type="custom" showErrorMessage="1" errorStyle="stop" errorTitle="Invalid Time" error="Enter time as HH:MM (e.g. 09:30) or leave blank" sqref="Q107">
      <formula1>OR(Q107="",AND(LEN(Q107)=5,MID(Q107,3,1)=":",ISNUMBER(VALUE(LEFT(Q107,2))),ISNUMBER(VALUE(RIGHT(Q107,2))),VALUE(LEFT(Q107,2))&lt;=23,VALUE(RIGHT(Q107,2))&lt;=59))</formula1>
    </dataValidation>
    <dataValidation type="custom" showErrorMessage="1" errorStyle="stop" errorTitle="Invalid Time" error="Enter time as HH:MM (e.g. 09:30) or leave blank" sqref="Q108">
      <formula1>OR(Q108="",AND(LEN(Q108)=5,MID(Q108,3,1)=":",ISNUMBER(VALUE(LEFT(Q108,2))),ISNUMBER(VALUE(RIGHT(Q108,2))),VALUE(LEFT(Q108,2))&lt;=23,VALUE(RIGHT(Q108,2))&lt;=59))</formula1>
    </dataValidation>
    <dataValidation type="custom" showErrorMessage="1" errorStyle="stop" errorTitle="Invalid Time" error="Enter time as HH:MM (e.g. 09:30) or leave blank" sqref="Q109">
      <formula1>OR(Q109="",AND(LEN(Q109)=5,MID(Q109,3,1)=":",ISNUMBER(VALUE(LEFT(Q109,2))),ISNUMBER(VALUE(RIGHT(Q109,2))),VALUE(LEFT(Q109,2))&lt;=23,VALUE(RIGHT(Q109,2))&lt;=59))</formula1>
    </dataValidation>
    <dataValidation type="custom" showErrorMessage="1" errorStyle="stop" errorTitle="Invalid Time" error="Enter time as HH:MM (e.g. 09:30) or leave blank" sqref="Q11">
      <formula1>OR(Q11="",AND(LEN(Q11)=5,MID(Q11,3,1)=":",ISNUMBER(VALUE(LEFT(Q11,2))),ISNUMBER(VALUE(RIGHT(Q11,2))),VALUE(LEFT(Q11,2))&lt;=23,VALUE(RIGHT(Q11,2))&lt;=59))</formula1>
    </dataValidation>
    <dataValidation type="custom" showErrorMessage="1" errorStyle="stop" errorTitle="Invalid Time" error="Enter time as HH:MM (e.g. 09:30) or leave blank" sqref="Q110">
      <formula1>OR(Q110="",AND(LEN(Q110)=5,MID(Q110,3,1)=":",ISNUMBER(VALUE(LEFT(Q110,2))),ISNUMBER(VALUE(RIGHT(Q110,2))),VALUE(LEFT(Q110,2))&lt;=23,VALUE(RIGHT(Q110,2))&lt;=59))</formula1>
    </dataValidation>
    <dataValidation type="custom" showErrorMessage="1" errorStyle="stop" errorTitle="Invalid Time" error="Enter time as HH:MM (e.g. 09:30) or leave blank" sqref="Q111">
      <formula1>OR(Q111="",AND(LEN(Q111)=5,MID(Q111,3,1)=":",ISNUMBER(VALUE(LEFT(Q111,2))),ISNUMBER(VALUE(RIGHT(Q111,2))),VALUE(LEFT(Q111,2))&lt;=23,VALUE(RIGHT(Q111,2))&lt;=59))</formula1>
    </dataValidation>
    <dataValidation type="custom" showErrorMessage="1" errorStyle="stop" errorTitle="Invalid Time" error="Enter time as HH:MM (e.g. 09:30) or leave blank" sqref="Q112">
      <formula1>OR(Q112="",AND(LEN(Q112)=5,MID(Q112,3,1)=":",ISNUMBER(VALUE(LEFT(Q112,2))),ISNUMBER(VALUE(RIGHT(Q112,2))),VALUE(LEFT(Q112,2))&lt;=23,VALUE(RIGHT(Q112,2))&lt;=59))</formula1>
    </dataValidation>
    <dataValidation type="custom" showErrorMessage="1" errorStyle="stop" errorTitle="Invalid Time" error="Enter time as HH:MM (e.g. 09:30) or leave blank" sqref="Q113">
      <formula1>OR(Q113="",AND(LEN(Q113)=5,MID(Q113,3,1)=":",ISNUMBER(VALUE(LEFT(Q113,2))),ISNUMBER(VALUE(RIGHT(Q113,2))),VALUE(LEFT(Q113,2))&lt;=23,VALUE(RIGHT(Q113,2))&lt;=59))</formula1>
    </dataValidation>
    <dataValidation type="custom" showErrorMessage="1" errorStyle="stop" errorTitle="Invalid Time" error="Enter time as HH:MM (e.g. 09:30) or leave blank" sqref="Q114">
      <formula1>OR(Q114="",AND(LEN(Q114)=5,MID(Q114,3,1)=":",ISNUMBER(VALUE(LEFT(Q114,2))),ISNUMBER(VALUE(RIGHT(Q114,2))),VALUE(LEFT(Q114,2))&lt;=23,VALUE(RIGHT(Q114,2))&lt;=59))</formula1>
    </dataValidation>
    <dataValidation type="custom" showErrorMessage="1" errorStyle="stop" errorTitle="Invalid Time" error="Enter time as HH:MM (e.g. 09:30) or leave blank" sqref="Q115">
      <formula1>OR(Q115="",AND(LEN(Q115)=5,MID(Q115,3,1)=":",ISNUMBER(VALUE(LEFT(Q115,2))),ISNUMBER(VALUE(RIGHT(Q115,2))),VALUE(LEFT(Q115,2))&lt;=23,VALUE(RIGHT(Q115,2))&lt;=59))</formula1>
    </dataValidation>
    <dataValidation type="custom" showErrorMessage="1" errorStyle="stop" errorTitle="Invalid Time" error="Enter time as HH:MM (e.g. 09:30) or leave blank" sqref="Q116">
      <formula1>OR(Q116="",AND(LEN(Q116)=5,MID(Q116,3,1)=":",ISNUMBER(VALUE(LEFT(Q116,2))),ISNUMBER(VALUE(RIGHT(Q116,2))),VALUE(LEFT(Q116,2))&lt;=23,VALUE(RIGHT(Q116,2))&lt;=59))</formula1>
    </dataValidation>
    <dataValidation type="custom" showErrorMessage="1" errorStyle="stop" errorTitle="Invalid Time" error="Enter time as HH:MM (e.g. 09:30) or leave blank" sqref="Q117">
      <formula1>OR(Q117="",AND(LEN(Q117)=5,MID(Q117,3,1)=":",ISNUMBER(VALUE(LEFT(Q117,2))),ISNUMBER(VALUE(RIGHT(Q117,2))),VALUE(LEFT(Q117,2))&lt;=23,VALUE(RIGHT(Q117,2))&lt;=59))</formula1>
    </dataValidation>
    <dataValidation type="custom" showErrorMessage="1" errorStyle="stop" errorTitle="Invalid Time" error="Enter time as HH:MM (e.g. 09:30) or leave blank" sqref="Q118">
      <formula1>OR(Q118="",AND(LEN(Q118)=5,MID(Q118,3,1)=":",ISNUMBER(VALUE(LEFT(Q118,2))),ISNUMBER(VALUE(RIGHT(Q118,2))),VALUE(LEFT(Q118,2))&lt;=23,VALUE(RIGHT(Q118,2))&lt;=59))</formula1>
    </dataValidation>
    <dataValidation type="custom" showErrorMessage="1" errorStyle="stop" errorTitle="Invalid Time" error="Enter time as HH:MM (e.g. 09:30) or leave blank" sqref="Q119">
      <formula1>OR(Q119="",AND(LEN(Q119)=5,MID(Q119,3,1)=":",ISNUMBER(VALUE(LEFT(Q119,2))),ISNUMBER(VALUE(RIGHT(Q119,2))),VALUE(LEFT(Q119,2))&lt;=23,VALUE(RIGHT(Q119,2))&lt;=59))</formula1>
    </dataValidation>
    <dataValidation type="custom" showErrorMessage="1" errorStyle="stop" errorTitle="Invalid Time" error="Enter time as HH:MM (e.g. 09:30) or leave blank" sqref="Q12">
      <formula1>OR(Q12="",AND(LEN(Q12)=5,MID(Q12,3,1)=":",ISNUMBER(VALUE(LEFT(Q12,2))),ISNUMBER(VALUE(RIGHT(Q12,2))),VALUE(LEFT(Q12,2))&lt;=23,VALUE(RIGHT(Q12,2))&lt;=59))</formula1>
    </dataValidation>
    <dataValidation type="custom" showErrorMessage="1" errorStyle="stop" errorTitle="Invalid Time" error="Enter time as HH:MM (e.g. 09:30) or leave blank" sqref="Q120">
      <formula1>OR(Q120="",AND(LEN(Q120)=5,MID(Q120,3,1)=":",ISNUMBER(VALUE(LEFT(Q120,2))),ISNUMBER(VALUE(RIGHT(Q120,2))),VALUE(LEFT(Q120,2))&lt;=23,VALUE(RIGHT(Q120,2))&lt;=59))</formula1>
    </dataValidation>
    <dataValidation type="custom" showErrorMessage="1" errorStyle="stop" errorTitle="Invalid Time" error="Enter time as HH:MM (e.g. 09:30) or leave blank" sqref="Q121">
      <formula1>OR(Q121="",AND(LEN(Q121)=5,MID(Q121,3,1)=":",ISNUMBER(VALUE(LEFT(Q121,2))),ISNUMBER(VALUE(RIGHT(Q121,2))),VALUE(LEFT(Q121,2))&lt;=23,VALUE(RIGHT(Q121,2))&lt;=59))</formula1>
    </dataValidation>
    <dataValidation type="custom" showErrorMessage="1" errorStyle="stop" errorTitle="Invalid Time" error="Enter time as HH:MM (e.g. 09:30) or leave blank" sqref="Q122">
      <formula1>OR(Q122="",AND(LEN(Q122)=5,MID(Q122,3,1)=":",ISNUMBER(VALUE(LEFT(Q122,2))),ISNUMBER(VALUE(RIGHT(Q122,2))),VALUE(LEFT(Q122,2))&lt;=23,VALUE(RIGHT(Q122,2))&lt;=59))</formula1>
    </dataValidation>
    <dataValidation type="custom" showErrorMessage="1" errorStyle="stop" errorTitle="Invalid Time" error="Enter time as HH:MM (e.g. 09:30) or leave blank" sqref="Q123">
      <formula1>OR(Q123="",AND(LEN(Q123)=5,MID(Q123,3,1)=":",ISNUMBER(VALUE(LEFT(Q123,2))),ISNUMBER(VALUE(RIGHT(Q123,2))),VALUE(LEFT(Q123,2))&lt;=23,VALUE(RIGHT(Q123,2))&lt;=59))</formula1>
    </dataValidation>
    <dataValidation type="custom" showErrorMessage="1" errorStyle="stop" errorTitle="Invalid Time" error="Enter time as HH:MM (e.g. 09:30) or leave blank" sqref="Q124">
      <formula1>OR(Q124="",AND(LEN(Q124)=5,MID(Q124,3,1)=":",ISNUMBER(VALUE(LEFT(Q124,2))),ISNUMBER(VALUE(RIGHT(Q124,2))),VALUE(LEFT(Q124,2))&lt;=23,VALUE(RIGHT(Q124,2))&lt;=59))</formula1>
    </dataValidation>
    <dataValidation type="custom" showErrorMessage="1" errorStyle="stop" errorTitle="Invalid Time" error="Enter time as HH:MM (e.g. 09:30) or leave blank" sqref="Q125">
      <formula1>OR(Q125="",AND(LEN(Q125)=5,MID(Q125,3,1)=":",ISNUMBER(VALUE(LEFT(Q125,2))),ISNUMBER(VALUE(RIGHT(Q125,2))),VALUE(LEFT(Q125,2))&lt;=23,VALUE(RIGHT(Q125,2))&lt;=59))</formula1>
    </dataValidation>
    <dataValidation type="custom" showErrorMessage="1" errorStyle="stop" errorTitle="Invalid Time" error="Enter time as HH:MM (e.g. 09:30) or leave blank" sqref="Q126">
      <formula1>OR(Q126="",AND(LEN(Q126)=5,MID(Q126,3,1)=":",ISNUMBER(VALUE(LEFT(Q126,2))),ISNUMBER(VALUE(RIGHT(Q126,2))),VALUE(LEFT(Q126,2))&lt;=23,VALUE(RIGHT(Q126,2))&lt;=59))</formula1>
    </dataValidation>
    <dataValidation type="custom" showErrorMessage="1" errorStyle="stop" errorTitle="Invalid Time" error="Enter time as HH:MM (e.g. 09:30) or leave blank" sqref="Q127">
      <formula1>OR(Q127="",AND(LEN(Q127)=5,MID(Q127,3,1)=":",ISNUMBER(VALUE(LEFT(Q127,2))),ISNUMBER(VALUE(RIGHT(Q127,2))),VALUE(LEFT(Q127,2))&lt;=23,VALUE(RIGHT(Q127,2))&lt;=59))</formula1>
    </dataValidation>
    <dataValidation type="custom" showErrorMessage="1" errorStyle="stop" errorTitle="Invalid Time" error="Enter time as HH:MM (e.g. 09:30) or leave blank" sqref="Q128">
      <formula1>OR(Q128="",AND(LEN(Q128)=5,MID(Q128,3,1)=":",ISNUMBER(VALUE(LEFT(Q128,2))),ISNUMBER(VALUE(RIGHT(Q128,2))),VALUE(LEFT(Q128,2))&lt;=23,VALUE(RIGHT(Q128,2))&lt;=59))</formula1>
    </dataValidation>
    <dataValidation type="custom" showErrorMessage="1" errorStyle="stop" errorTitle="Invalid Time" error="Enter time as HH:MM (e.g. 09:30) or leave blank" sqref="Q129">
      <formula1>OR(Q129="",AND(LEN(Q129)=5,MID(Q129,3,1)=":",ISNUMBER(VALUE(LEFT(Q129,2))),ISNUMBER(VALUE(RIGHT(Q129,2))),VALUE(LEFT(Q129,2))&lt;=23,VALUE(RIGHT(Q129,2))&lt;=59))</formula1>
    </dataValidation>
    <dataValidation type="custom" showErrorMessage="1" errorStyle="stop" errorTitle="Invalid Time" error="Enter time as HH:MM (e.g. 09:30) or leave blank" sqref="Q13">
      <formula1>OR(Q13="",AND(LEN(Q13)=5,MID(Q13,3,1)=":",ISNUMBER(VALUE(LEFT(Q13,2))),ISNUMBER(VALUE(RIGHT(Q13,2))),VALUE(LEFT(Q13,2))&lt;=23,VALUE(RIGHT(Q13,2))&lt;=59))</formula1>
    </dataValidation>
    <dataValidation type="custom" showErrorMessage="1" errorStyle="stop" errorTitle="Invalid Time" error="Enter time as HH:MM (e.g. 09:30) or leave blank" sqref="Q130">
      <formula1>OR(Q130="",AND(LEN(Q130)=5,MID(Q130,3,1)=":",ISNUMBER(VALUE(LEFT(Q130,2))),ISNUMBER(VALUE(RIGHT(Q130,2))),VALUE(LEFT(Q130,2))&lt;=23,VALUE(RIGHT(Q130,2))&lt;=59))</formula1>
    </dataValidation>
    <dataValidation type="custom" showErrorMessage="1" errorStyle="stop" errorTitle="Invalid Time" error="Enter time as HH:MM (e.g. 09:30) or leave blank" sqref="Q131">
      <formula1>OR(Q131="",AND(LEN(Q131)=5,MID(Q131,3,1)=":",ISNUMBER(VALUE(LEFT(Q131,2))),ISNUMBER(VALUE(RIGHT(Q131,2))),VALUE(LEFT(Q131,2))&lt;=23,VALUE(RIGHT(Q131,2))&lt;=59))</formula1>
    </dataValidation>
    <dataValidation type="custom" showErrorMessage="1" errorStyle="stop" errorTitle="Invalid Time" error="Enter time as HH:MM (e.g. 09:30) or leave blank" sqref="Q132">
      <formula1>OR(Q132="",AND(LEN(Q132)=5,MID(Q132,3,1)=":",ISNUMBER(VALUE(LEFT(Q132,2))),ISNUMBER(VALUE(RIGHT(Q132,2))),VALUE(LEFT(Q132,2))&lt;=23,VALUE(RIGHT(Q132,2))&lt;=59))</formula1>
    </dataValidation>
    <dataValidation type="custom" showErrorMessage="1" errorStyle="stop" errorTitle="Invalid Time" error="Enter time as HH:MM (e.g. 09:30) or leave blank" sqref="Q133">
      <formula1>OR(Q133="",AND(LEN(Q133)=5,MID(Q133,3,1)=":",ISNUMBER(VALUE(LEFT(Q133,2))),ISNUMBER(VALUE(RIGHT(Q133,2))),VALUE(LEFT(Q133,2))&lt;=23,VALUE(RIGHT(Q133,2))&lt;=59))</formula1>
    </dataValidation>
    <dataValidation type="custom" showErrorMessage="1" errorStyle="stop" errorTitle="Invalid Time" error="Enter time as HH:MM (e.g. 09:30) or leave blank" sqref="Q134">
      <formula1>OR(Q134="",AND(LEN(Q134)=5,MID(Q134,3,1)=":",ISNUMBER(VALUE(LEFT(Q134,2))),ISNUMBER(VALUE(RIGHT(Q134,2))),VALUE(LEFT(Q134,2))&lt;=23,VALUE(RIGHT(Q134,2))&lt;=59))</formula1>
    </dataValidation>
    <dataValidation type="custom" showErrorMessage="1" errorStyle="stop" errorTitle="Invalid Time" error="Enter time as HH:MM (e.g. 09:30) or leave blank" sqref="Q135">
      <formula1>OR(Q135="",AND(LEN(Q135)=5,MID(Q135,3,1)=":",ISNUMBER(VALUE(LEFT(Q135,2))),ISNUMBER(VALUE(RIGHT(Q135,2))),VALUE(LEFT(Q135,2))&lt;=23,VALUE(RIGHT(Q135,2))&lt;=59))</formula1>
    </dataValidation>
    <dataValidation type="custom" showErrorMessage="1" errorStyle="stop" errorTitle="Invalid Time" error="Enter time as HH:MM (e.g. 09:30) or leave blank" sqref="Q136">
      <formula1>OR(Q136="",AND(LEN(Q136)=5,MID(Q136,3,1)=":",ISNUMBER(VALUE(LEFT(Q136,2))),ISNUMBER(VALUE(RIGHT(Q136,2))),VALUE(LEFT(Q136,2))&lt;=23,VALUE(RIGHT(Q136,2))&lt;=59))</formula1>
    </dataValidation>
    <dataValidation type="custom" showErrorMessage="1" errorStyle="stop" errorTitle="Invalid Time" error="Enter time as HH:MM (e.g. 09:30) or leave blank" sqref="Q137">
      <formula1>OR(Q137="",AND(LEN(Q137)=5,MID(Q137,3,1)=":",ISNUMBER(VALUE(LEFT(Q137,2))),ISNUMBER(VALUE(RIGHT(Q137,2))),VALUE(LEFT(Q137,2))&lt;=23,VALUE(RIGHT(Q137,2))&lt;=59))</formula1>
    </dataValidation>
    <dataValidation type="custom" showErrorMessage="1" errorStyle="stop" errorTitle="Invalid Time" error="Enter time as HH:MM (e.g. 09:30) or leave blank" sqref="Q138">
      <formula1>OR(Q138="",AND(LEN(Q138)=5,MID(Q138,3,1)=":",ISNUMBER(VALUE(LEFT(Q138,2))),ISNUMBER(VALUE(RIGHT(Q138,2))),VALUE(LEFT(Q138,2))&lt;=23,VALUE(RIGHT(Q138,2))&lt;=59))</formula1>
    </dataValidation>
    <dataValidation type="custom" showErrorMessage="1" errorStyle="stop" errorTitle="Invalid Time" error="Enter time as HH:MM (e.g. 09:30) or leave blank" sqref="Q139">
      <formula1>OR(Q139="",AND(LEN(Q139)=5,MID(Q139,3,1)=":",ISNUMBER(VALUE(LEFT(Q139,2))),ISNUMBER(VALUE(RIGHT(Q139,2))),VALUE(LEFT(Q139,2))&lt;=23,VALUE(RIGHT(Q139,2))&lt;=59))</formula1>
    </dataValidation>
    <dataValidation type="custom" showErrorMessage="1" errorStyle="stop" errorTitle="Invalid Time" error="Enter time as HH:MM (e.g. 09:30) or leave blank" sqref="Q14">
      <formula1>OR(Q14="",AND(LEN(Q14)=5,MID(Q14,3,1)=":",ISNUMBER(VALUE(LEFT(Q14,2))),ISNUMBER(VALUE(RIGHT(Q14,2))),VALUE(LEFT(Q14,2))&lt;=23,VALUE(RIGHT(Q14,2))&lt;=59))</formula1>
    </dataValidation>
    <dataValidation type="custom" showErrorMessage="1" errorStyle="stop" errorTitle="Invalid Time" error="Enter time as HH:MM (e.g. 09:30) or leave blank" sqref="Q140">
      <formula1>OR(Q140="",AND(LEN(Q140)=5,MID(Q140,3,1)=":",ISNUMBER(VALUE(LEFT(Q140,2))),ISNUMBER(VALUE(RIGHT(Q140,2))),VALUE(LEFT(Q140,2))&lt;=23,VALUE(RIGHT(Q140,2))&lt;=59))</formula1>
    </dataValidation>
    <dataValidation type="custom" showErrorMessage="1" errorStyle="stop" errorTitle="Invalid Time" error="Enter time as HH:MM (e.g. 09:30) or leave blank" sqref="Q141">
      <formula1>OR(Q141="",AND(LEN(Q141)=5,MID(Q141,3,1)=":",ISNUMBER(VALUE(LEFT(Q141,2))),ISNUMBER(VALUE(RIGHT(Q141,2))),VALUE(LEFT(Q141,2))&lt;=23,VALUE(RIGHT(Q141,2))&lt;=59))</formula1>
    </dataValidation>
    <dataValidation type="custom" showErrorMessage="1" errorStyle="stop" errorTitle="Invalid Time" error="Enter time as HH:MM (e.g. 09:30) or leave blank" sqref="Q142">
      <formula1>OR(Q142="",AND(LEN(Q142)=5,MID(Q142,3,1)=":",ISNUMBER(VALUE(LEFT(Q142,2))),ISNUMBER(VALUE(RIGHT(Q142,2))),VALUE(LEFT(Q142,2))&lt;=23,VALUE(RIGHT(Q142,2))&lt;=59))</formula1>
    </dataValidation>
    <dataValidation type="custom" showErrorMessage="1" errorStyle="stop" errorTitle="Invalid Time" error="Enter time as HH:MM (e.g. 09:30) or leave blank" sqref="Q143">
      <formula1>OR(Q143="",AND(LEN(Q143)=5,MID(Q143,3,1)=":",ISNUMBER(VALUE(LEFT(Q143,2))),ISNUMBER(VALUE(RIGHT(Q143,2))),VALUE(LEFT(Q143,2))&lt;=23,VALUE(RIGHT(Q143,2))&lt;=59))</formula1>
    </dataValidation>
    <dataValidation type="custom" showErrorMessage="1" errorStyle="stop" errorTitle="Invalid Time" error="Enter time as HH:MM (e.g. 09:30) or leave blank" sqref="Q144">
      <formula1>OR(Q144="",AND(LEN(Q144)=5,MID(Q144,3,1)=":",ISNUMBER(VALUE(LEFT(Q144,2))),ISNUMBER(VALUE(RIGHT(Q144,2))),VALUE(LEFT(Q144,2))&lt;=23,VALUE(RIGHT(Q144,2))&lt;=59))</formula1>
    </dataValidation>
    <dataValidation type="custom" showErrorMessage="1" errorStyle="stop" errorTitle="Invalid Time" error="Enter time as HH:MM (e.g. 09:30) or leave blank" sqref="Q145">
      <formula1>OR(Q145="",AND(LEN(Q145)=5,MID(Q145,3,1)=":",ISNUMBER(VALUE(LEFT(Q145,2))),ISNUMBER(VALUE(RIGHT(Q145,2))),VALUE(LEFT(Q145,2))&lt;=23,VALUE(RIGHT(Q145,2))&lt;=59))</formula1>
    </dataValidation>
    <dataValidation type="custom" showErrorMessage="1" errorStyle="stop" errorTitle="Invalid Time" error="Enter time as HH:MM (e.g. 09:30) or leave blank" sqref="Q146">
      <formula1>OR(Q146="",AND(LEN(Q146)=5,MID(Q146,3,1)=":",ISNUMBER(VALUE(LEFT(Q146,2))),ISNUMBER(VALUE(RIGHT(Q146,2))),VALUE(LEFT(Q146,2))&lt;=23,VALUE(RIGHT(Q146,2))&lt;=59))</formula1>
    </dataValidation>
    <dataValidation type="custom" showErrorMessage="1" errorStyle="stop" errorTitle="Invalid Time" error="Enter time as HH:MM (e.g. 09:30) or leave blank" sqref="Q147">
      <formula1>OR(Q147="",AND(LEN(Q147)=5,MID(Q147,3,1)=":",ISNUMBER(VALUE(LEFT(Q147,2))),ISNUMBER(VALUE(RIGHT(Q147,2))),VALUE(LEFT(Q147,2))&lt;=23,VALUE(RIGHT(Q147,2))&lt;=59))</formula1>
    </dataValidation>
    <dataValidation type="custom" showErrorMessage="1" errorStyle="stop" errorTitle="Invalid Time" error="Enter time as HH:MM (e.g. 09:30) or leave blank" sqref="Q148">
      <formula1>OR(Q148="",AND(LEN(Q148)=5,MID(Q148,3,1)=":",ISNUMBER(VALUE(LEFT(Q148,2))),ISNUMBER(VALUE(RIGHT(Q148,2))),VALUE(LEFT(Q148,2))&lt;=23,VALUE(RIGHT(Q148,2))&lt;=59))</formula1>
    </dataValidation>
    <dataValidation type="custom" showErrorMessage="1" errorStyle="stop" errorTitle="Invalid Time" error="Enter time as HH:MM (e.g. 09:30) or leave blank" sqref="Q149">
      <formula1>OR(Q149="",AND(LEN(Q149)=5,MID(Q149,3,1)=":",ISNUMBER(VALUE(LEFT(Q149,2))),ISNUMBER(VALUE(RIGHT(Q149,2))),VALUE(LEFT(Q149,2))&lt;=23,VALUE(RIGHT(Q149,2))&lt;=59))</formula1>
    </dataValidation>
    <dataValidation type="custom" showErrorMessage="1" errorStyle="stop" errorTitle="Invalid Time" error="Enter time as HH:MM (e.g. 09:30) or leave blank" sqref="Q15">
      <formula1>OR(Q15="",AND(LEN(Q15)=5,MID(Q15,3,1)=":",ISNUMBER(VALUE(LEFT(Q15,2))),ISNUMBER(VALUE(RIGHT(Q15,2))),VALUE(LEFT(Q15,2))&lt;=23,VALUE(RIGHT(Q15,2))&lt;=59))</formula1>
    </dataValidation>
    <dataValidation type="custom" showErrorMessage="1" errorStyle="stop" errorTitle="Invalid Time" error="Enter time as HH:MM (e.g. 09:30) or leave blank" sqref="Q150">
      <formula1>OR(Q150="",AND(LEN(Q150)=5,MID(Q150,3,1)=":",ISNUMBER(VALUE(LEFT(Q150,2))),ISNUMBER(VALUE(RIGHT(Q150,2))),VALUE(LEFT(Q150,2))&lt;=23,VALUE(RIGHT(Q150,2))&lt;=59))</formula1>
    </dataValidation>
    <dataValidation type="custom" showErrorMessage="1" errorStyle="stop" errorTitle="Invalid Time" error="Enter time as HH:MM (e.g. 09:30) or leave blank" sqref="Q151">
      <formula1>OR(Q151="",AND(LEN(Q151)=5,MID(Q151,3,1)=":",ISNUMBER(VALUE(LEFT(Q151,2))),ISNUMBER(VALUE(RIGHT(Q151,2))),VALUE(LEFT(Q151,2))&lt;=23,VALUE(RIGHT(Q151,2))&lt;=59))</formula1>
    </dataValidation>
    <dataValidation type="custom" showErrorMessage="1" errorStyle="stop" errorTitle="Invalid Time" error="Enter time as HH:MM (e.g. 09:30) or leave blank" sqref="Q152">
      <formula1>OR(Q152="",AND(LEN(Q152)=5,MID(Q152,3,1)=":",ISNUMBER(VALUE(LEFT(Q152,2))),ISNUMBER(VALUE(RIGHT(Q152,2))),VALUE(LEFT(Q152,2))&lt;=23,VALUE(RIGHT(Q152,2))&lt;=59))</formula1>
    </dataValidation>
    <dataValidation type="custom" showErrorMessage="1" errorStyle="stop" errorTitle="Invalid Time" error="Enter time as HH:MM (e.g. 09:30) or leave blank" sqref="Q153">
      <formula1>OR(Q153="",AND(LEN(Q153)=5,MID(Q153,3,1)=":",ISNUMBER(VALUE(LEFT(Q153,2))),ISNUMBER(VALUE(RIGHT(Q153,2))),VALUE(LEFT(Q153,2))&lt;=23,VALUE(RIGHT(Q153,2))&lt;=59))</formula1>
    </dataValidation>
    <dataValidation type="custom" showErrorMessage="1" errorStyle="stop" errorTitle="Invalid Time" error="Enter time as HH:MM (e.g. 09:30) or leave blank" sqref="Q154">
      <formula1>OR(Q154="",AND(LEN(Q154)=5,MID(Q154,3,1)=":",ISNUMBER(VALUE(LEFT(Q154,2))),ISNUMBER(VALUE(RIGHT(Q154,2))),VALUE(LEFT(Q154,2))&lt;=23,VALUE(RIGHT(Q154,2))&lt;=59))</formula1>
    </dataValidation>
    <dataValidation type="custom" showErrorMessage="1" errorStyle="stop" errorTitle="Invalid Time" error="Enter time as HH:MM (e.g. 09:30) or leave blank" sqref="Q155">
      <formula1>OR(Q155="",AND(LEN(Q155)=5,MID(Q155,3,1)=":",ISNUMBER(VALUE(LEFT(Q155,2))),ISNUMBER(VALUE(RIGHT(Q155,2))),VALUE(LEFT(Q155,2))&lt;=23,VALUE(RIGHT(Q155,2))&lt;=59))</formula1>
    </dataValidation>
    <dataValidation type="custom" showErrorMessage="1" errorStyle="stop" errorTitle="Invalid Time" error="Enter time as HH:MM (e.g. 09:30) or leave blank" sqref="Q156">
      <formula1>OR(Q156="",AND(LEN(Q156)=5,MID(Q156,3,1)=":",ISNUMBER(VALUE(LEFT(Q156,2))),ISNUMBER(VALUE(RIGHT(Q156,2))),VALUE(LEFT(Q156,2))&lt;=23,VALUE(RIGHT(Q156,2))&lt;=59))</formula1>
    </dataValidation>
    <dataValidation type="custom" showErrorMessage="1" errorStyle="stop" errorTitle="Invalid Time" error="Enter time as HH:MM (e.g. 09:30) or leave blank" sqref="Q157">
      <formula1>OR(Q157="",AND(LEN(Q157)=5,MID(Q157,3,1)=":",ISNUMBER(VALUE(LEFT(Q157,2))),ISNUMBER(VALUE(RIGHT(Q157,2))),VALUE(LEFT(Q157,2))&lt;=23,VALUE(RIGHT(Q157,2))&lt;=59))</formula1>
    </dataValidation>
    <dataValidation type="custom" showErrorMessage="1" errorStyle="stop" errorTitle="Invalid Time" error="Enter time as HH:MM (e.g. 09:30) or leave blank" sqref="Q158">
      <formula1>OR(Q158="",AND(LEN(Q158)=5,MID(Q158,3,1)=":",ISNUMBER(VALUE(LEFT(Q158,2))),ISNUMBER(VALUE(RIGHT(Q158,2))),VALUE(LEFT(Q158,2))&lt;=23,VALUE(RIGHT(Q158,2))&lt;=59))</formula1>
    </dataValidation>
    <dataValidation type="custom" showErrorMessage="1" errorStyle="stop" errorTitle="Invalid Time" error="Enter time as HH:MM (e.g. 09:30) or leave blank" sqref="Q159">
      <formula1>OR(Q159="",AND(LEN(Q159)=5,MID(Q159,3,1)=":",ISNUMBER(VALUE(LEFT(Q159,2))),ISNUMBER(VALUE(RIGHT(Q159,2))),VALUE(LEFT(Q159,2))&lt;=23,VALUE(RIGHT(Q159,2))&lt;=59))</formula1>
    </dataValidation>
    <dataValidation type="custom" showErrorMessage="1" errorStyle="stop" errorTitle="Invalid Time" error="Enter time as HH:MM (e.g. 09:30) or leave blank" sqref="Q16">
      <formula1>OR(Q16="",AND(LEN(Q16)=5,MID(Q16,3,1)=":",ISNUMBER(VALUE(LEFT(Q16,2))),ISNUMBER(VALUE(RIGHT(Q16,2))),VALUE(LEFT(Q16,2))&lt;=23,VALUE(RIGHT(Q16,2))&lt;=59))</formula1>
    </dataValidation>
    <dataValidation type="custom" showErrorMessage="1" errorStyle="stop" errorTitle="Invalid Time" error="Enter time as HH:MM (e.g. 09:30) or leave blank" sqref="Q160">
      <formula1>OR(Q160="",AND(LEN(Q160)=5,MID(Q160,3,1)=":",ISNUMBER(VALUE(LEFT(Q160,2))),ISNUMBER(VALUE(RIGHT(Q160,2))),VALUE(LEFT(Q160,2))&lt;=23,VALUE(RIGHT(Q160,2))&lt;=59))</formula1>
    </dataValidation>
    <dataValidation type="custom" showErrorMessage="1" errorStyle="stop" errorTitle="Invalid Time" error="Enter time as HH:MM (e.g. 09:30) or leave blank" sqref="Q161">
      <formula1>OR(Q161="",AND(LEN(Q161)=5,MID(Q161,3,1)=":",ISNUMBER(VALUE(LEFT(Q161,2))),ISNUMBER(VALUE(RIGHT(Q161,2))),VALUE(LEFT(Q161,2))&lt;=23,VALUE(RIGHT(Q161,2))&lt;=59))</formula1>
    </dataValidation>
    <dataValidation type="custom" showErrorMessage="1" errorStyle="stop" errorTitle="Invalid Time" error="Enter time as HH:MM (e.g. 09:30) or leave blank" sqref="Q162">
      <formula1>OR(Q162="",AND(LEN(Q162)=5,MID(Q162,3,1)=":",ISNUMBER(VALUE(LEFT(Q162,2))),ISNUMBER(VALUE(RIGHT(Q162,2))),VALUE(LEFT(Q162,2))&lt;=23,VALUE(RIGHT(Q162,2))&lt;=59))</formula1>
    </dataValidation>
    <dataValidation type="custom" showErrorMessage="1" errorStyle="stop" errorTitle="Invalid Time" error="Enter time as HH:MM (e.g. 09:30) or leave blank" sqref="Q163">
      <formula1>OR(Q163="",AND(LEN(Q163)=5,MID(Q163,3,1)=":",ISNUMBER(VALUE(LEFT(Q163,2))),ISNUMBER(VALUE(RIGHT(Q163,2))),VALUE(LEFT(Q163,2))&lt;=23,VALUE(RIGHT(Q163,2))&lt;=59))</formula1>
    </dataValidation>
    <dataValidation type="custom" showErrorMessage="1" errorStyle="stop" errorTitle="Invalid Time" error="Enter time as HH:MM (e.g. 09:30) or leave blank" sqref="Q164">
      <formula1>OR(Q164="",AND(LEN(Q164)=5,MID(Q164,3,1)=":",ISNUMBER(VALUE(LEFT(Q164,2))),ISNUMBER(VALUE(RIGHT(Q164,2))),VALUE(LEFT(Q164,2))&lt;=23,VALUE(RIGHT(Q164,2))&lt;=59))</formula1>
    </dataValidation>
    <dataValidation type="custom" showErrorMessage="1" errorStyle="stop" errorTitle="Invalid Time" error="Enter time as HH:MM (e.g. 09:30) or leave blank" sqref="Q165">
      <formula1>OR(Q165="",AND(LEN(Q165)=5,MID(Q165,3,1)=":",ISNUMBER(VALUE(LEFT(Q165,2))),ISNUMBER(VALUE(RIGHT(Q165,2))),VALUE(LEFT(Q165,2))&lt;=23,VALUE(RIGHT(Q165,2))&lt;=59))</formula1>
    </dataValidation>
    <dataValidation type="custom" showErrorMessage="1" errorStyle="stop" errorTitle="Invalid Time" error="Enter time as HH:MM (e.g. 09:30) or leave blank" sqref="Q166">
      <formula1>OR(Q166="",AND(LEN(Q166)=5,MID(Q166,3,1)=":",ISNUMBER(VALUE(LEFT(Q166,2))),ISNUMBER(VALUE(RIGHT(Q166,2))),VALUE(LEFT(Q166,2))&lt;=23,VALUE(RIGHT(Q166,2))&lt;=59))</formula1>
    </dataValidation>
    <dataValidation type="custom" showErrorMessage="1" errorStyle="stop" errorTitle="Invalid Time" error="Enter time as HH:MM (e.g. 09:30) or leave blank" sqref="Q167">
      <formula1>OR(Q167="",AND(LEN(Q167)=5,MID(Q167,3,1)=":",ISNUMBER(VALUE(LEFT(Q167,2))),ISNUMBER(VALUE(RIGHT(Q167,2))),VALUE(LEFT(Q167,2))&lt;=23,VALUE(RIGHT(Q167,2))&lt;=59))</formula1>
    </dataValidation>
    <dataValidation type="custom" showErrorMessage="1" errorStyle="stop" errorTitle="Invalid Time" error="Enter time as HH:MM (e.g. 09:30) or leave blank" sqref="Q168">
      <formula1>OR(Q168="",AND(LEN(Q168)=5,MID(Q168,3,1)=":",ISNUMBER(VALUE(LEFT(Q168,2))),ISNUMBER(VALUE(RIGHT(Q168,2))),VALUE(LEFT(Q168,2))&lt;=23,VALUE(RIGHT(Q168,2))&lt;=59))</formula1>
    </dataValidation>
    <dataValidation type="custom" showErrorMessage="1" errorStyle="stop" errorTitle="Invalid Time" error="Enter time as HH:MM (e.g. 09:30) or leave blank" sqref="Q169">
      <formula1>OR(Q169="",AND(LEN(Q169)=5,MID(Q169,3,1)=":",ISNUMBER(VALUE(LEFT(Q169,2))),ISNUMBER(VALUE(RIGHT(Q169,2))),VALUE(LEFT(Q169,2))&lt;=23,VALUE(RIGHT(Q169,2))&lt;=59))</formula1>
    </dataValidation>
    <dataValidation type="custom" showErrorMessage="1" errorStyle="stop" errorTitle="Invalid Time" error="Enter time as HH:MM (e.g. 09:30) or leave blank" sqref="Q17">
      <formula1>OR(Q17="",AND(LEN(Q17)=5,MID(Q17,3,1)=":",ISNUMBER(VALUE(LEFT(Q17,2))),ISNUMBER(VALUE(RIGHT(Q17,2))),VALUE(LEFT(Q17,2))&lt;=23,VALUE(RIGHT(Q17,2))&lt;=59))</formula1>
    </dataValidation>
    <dataValidation type="custom" showErrorMessage="1" errorStyle="stop" errorTitle="Invalid Time" error="Enter time as HH:MM (e.g. 09:30) or leave blank" sqref="Q170">
      <formula1>OR(Q170="",AND(LEN(Q170)=5,MID(Q170,3,1)=":",ISNUMBER(VALUE(LEFT(Q170,2))),ISNUMBER(VALUE(RIGHT(Q170,2))),VALUE(LEFT(Q170,2))&lt;=23,VALUE(RIGHT(Q170,2))&lt;=59))</formula1>
    </dataValidation>
    <dataValidation type="custom" showErrorMessage="1" errorStyle="stop" errorTitle="Invalid Time" error="Enter time as HH:MM (e.g. 09:30) or leave blank" sqref="Q171">
      <formula1>OR(Q171="",AND(LEN(Q171)=5,MID(Q171,3,1)=":",ISNUMBER(VALUE(LEFT(Q171,2))),ISNUMBER(VALUE(RIGHT(Q171,2))),VALUE(LEFT(Q171,2))&lt;=23,VALUE(RIGHT(Q171,2))&lt;=59))</formula1>
    </dataValidation>
    <dataValidation type="custom" showErrorMessage="1" errorStyle="stop" errorTitle="Invalid Time" error="Enter time as HH:MM (e.g. 09:30) or leave blank" sqref="Q172">
      <formula1>OR(Q172="",AND(LEN(Q172)=5,MID(Q172,3,1)=":",ISNUMBER(VALUE(LEFT(Q172,2))),ISNUMBER(VALUE(RIGHT(Q172,2))),VALUE(LEFT(Q172,2))&lt;=23,VALUE(RIGHT(Q172,2))&lt;=59))</formula1>
    </dataValidation>
    <dataValidation type="custom" showErrorMessage="1" errorStyle="stop" errorTitle="Invalid Time" error="Enter time as HH:MM (e.g. 09:30) or leave blank" sqref="Q173">
      <formula1>OR(Q173="",AND(LEN(Q173)=5,MID(Q173,3,1)=":",ISNUMBER(VALUE(LEFT(Q173,2))),ISNUMBER(VALUE(RIGHT(Q173,2))),VALUE(LEFT(Q173,2))&lt;=23,VALUE(RIGHT(Q173,2))&lt;=59))</formula1>
    </dataValidation>
    <dataValidation type="custom" showErrorMessage="1" errorStyle="stop" errorTitle="Invalid Time" error="Enter time as HH:MM (e.g. 09:30) or leave blank" sqref="Q174">
      <formula1>OR(Q174="",AND(LEN(Q174)=5,MID(Q174,3,1)=":",ISNUMBER(VALUE(LEFT(Q174,2))),ISNUMBER(VALUE(RIGHT(Q174,2))),VALUE(LEFT(Q174,2))&lt;=23,VALUE(RIGHT(Q174,2))&lt;=59))</formula1>
    </dataValidation>
    <dataValidation type="custom" showErrorMessage="1" errorStyle="stop" errorTitle="Invalid Time" error="Enter time as HH:MM (e.g. 09:30) or leave blank" sqref="Q175">
      <formula1>OR(Q175="",AND(LEN(Q175)=5,MID(Q175,3,1)=":",ISNUMBER(VALUE(LEFT(Q175,2))),ISNUMBER(VALUE(RIGHT(Q175,2))),VALUE(LEFT(Q175,2))&lt;=23,VALUE(RIGHT(Q175,2))&lt;=59))</formula1>
    </dataValidation>
    <dataValidation type="custom" showErrorMessage="1" errorStyle="stop" errorTitle="Invalid Time" error="Enter time as HH:MM (e.g. 09:30) or leave blank" sqref="Q176">
      <formula1>OR(Q176="",AND(LEN(Q176)=5,MID(Q176,3,1)=":",ISNUMBER(VALUE(LEFT(Q176,2))),ISNUMBER(VALUE(RIGHT(Q176,2))),VALUE(LEFT(Q176,2))&lt;=23,VALUE(RIGHT(Q176,2))&lt;=59))</formula1>
    </dataValidation>
    <dataValidation type="custom" showErrorMessage="1" errorStyle="stop" errorTitle="Invalid Time" error="Enter time as HH:MM (e.g. 09:30) or leave blank" sqref="Q177">
      <formula1>OR(Q177="",AND(LEN(Q177)=5,MID(Q177,3,1)=":",ISNUMBER(VALUE(LEFT(Q177,2))),ISNUMBER(VALUE(RIGHT(Q177,2))),VALUE(LEFT(Q177,2))&lt;=23,VALUE(RIGHT(Q177,2))&lt;=59))</formula1>
    </dataValidation>
    <dataValidation type="custom" showErrorMessage="1" errorStyle="stop" errorTitle="Invalid Time" error="Enter time as HH:MM (e.g. 09:30) or leave blank" sqref="Q178">
      <formula1>OR(Q178="",AND(LEN(Q178)=5,MID(Q178,3,1)=":",ISNUMBER(VALUE(LEFT(Q178,2))),ISNUMBER(VALUE(RIGHT(Q178,2))),VALUE(LEFT(Q178,2))&lt;=23,VALUE(RIGHT(Q178,2))&lt;=59))</formula1>
    </dataValidation>
    <dataValidation type="custom" showErrorMessage="1" errorStyle="stop" errorTitle="Invalid Time" error="Enter time as HH:MM (e.g. 09:30) or leave blank" sqref="Q179">
      <formula1>OR(Q179="",AND(LEN(Q179)=5,MID(Q179,3,1)=":",ISNUMBER(VALUE(LEFT(Q179,2))),ISNUMBER(VALUE(RIGHT(Q179,2))),VALUE(LEFT(Q179,2))&lt;=23,VALUE(RIGHT(Q179,2))&lt;=59))</formula1>
    </dataValidation>
    <dataValidation type="custom" showErrorMessage="1" errorStyle="stop" errorTitle="Invalid Time" error="Enter time as HH:MM (e.g. 09:30) or leave blank" sqref="Q18">
      <formula1>OR(Q18="",AND(LEN(Q18)=5,MID(Q18,3,1)=":",ISNUMBER(VALUE(LEFT(Q18,2))),ISNUMBER(VALUE(RIGHT(Q18,2))),VALUE(LEFT(Q18,2))&lt;=23,VALUE(RIGHT(Q18,2))&lt;=59))</formula1>
    </dataValidation>
    <dataValidation type="custom" showErrorMessage="1" errorStyle="stop" errorTitle="Invalid Time" error="Enter time as HH:MM (e.g. 09:30) or leave blank" sqref="Q180">
      <formula1>OR(Q180="",AND(LEN(Q180)=5,MID(Q180,3,1)=":",ISNUMBER(VALUE(LEFT(Q180,2))),ISNUMBER(VALUE(RIGHT(Q180,2))),VALUE(LEFT(Q180,2))&lt;=23,VALUE(RIGHT(Q180,2))&lt;=59))</formula1>
    </dataValidation>
    <dataValidation type="custom" showErrorMessage="1" errorStyle="stop" errorTitle="Invalid Time" error="Enter time as HH:MM (e.g. 09:30) or leave blank" sqref="Q181">
      <formula1>OR(Q181="",AND(LEN(Q181)=5,MID(Q181,3,1)=":",ISNUMBER(VALUE(LEFT(Q181,2))),ISNUMBER(VALUE(RIGHT(Q181,2))),VALUE(LEFT(Q181,2))&lt;=23,VALUE(RIGHT(Q181,2))&lt;=59))</formula1>
    </dataValidation>
    <dataValidation type="custom" showErrorMessage="1" errorStyle="stop" errorTitle="Invalid Time" error="Enter time as HH:MM (e.g. 09:30) or leave blank" sqref="Q182">
      <formula1>OR(Q182="",AND(LEN(Q182)=5,MID(Q182,3,1)=":",ISNUMBER(VALUE(LEFT(Q182,2))),ISNUMBER(VALUE(RIGHT(Q182,2))),VALUE(LEFT(Q182,2))&lt;=23,VALUE(RIGHT(Q182,2))&lt;=59))</formula1>
    </dataValidation>
    <dataValidation type="custom" showErrorMessage="1" errorStyle="stop" errorTitle="Invalid Time" error="Enter time as HH:MM (e.g. 09:30) or leave blank" sqref="Q183">
      <formula1>OR(Q183="",AND(LEN(Q183)=5,MID(Q183,3,1)=":",ISNUMBER(VALUE(LEFT(Q183,2))),ISNUMBER(VALUE(RIGHT(Q183,2))),VALUE(LEFT(Q183,2))&lt;=23,VALUE(RIGHT(Q183,2))&lt;=59))</formula1>
    </dataValidation>
    <dataValidation type="custom" showErrorMessage="1" errorStyle="stop" errorTitle="Invalid Time" error="Enter time as HH:MM (e.g. 09:30) or leave blank" sqref="Q184">
      <formula1>OR(Q184="",AND(LEN(Q184)=5,MID(Q184,3,1)=":",ISNUMBER(VALUE(LEFT(Q184,2))),ISNUMBER(VALUE(RIGHT(Q184,2))),VALUE(LEFT(Q184,2))&lt;=23,VALUE(RIGHT(Q184,2))&lt;=59))</formula1>
    </dataValidation>
    <dataValidation type="custom" showErrorMessage="1" errorStyle="stop" errorTitle="Invalid Time" error="Enter time as HH:MM (e.g. 09:30) or leave blank" sqref="Q185">
      <formula1>OR(Q185="",AND(LEN(Q185)=5,MID(Q185,3,1)=":",ISNUMBER(VALUE(LEFT(Q185,2))),ISNUMBER(VALUE(RIGHT(Q185,2))),VALUE(LEFT(Q185,2))&lt;=23,VALUE(RIGHT(Q185,2))&lt;=59))</formula1>
    </dataValidation>
    <dataValidation type="custom" showErrorMessage="1" errorStyle="stop" errorTitle="Invalid Time" error="Enter time as HH:MM (e.g. 09:30) or leave blank" sqref="Q186">
      <formula1>OR(Q186="",AND(LEN(Q186)=5,MID(Q186,3,1)=":",ISNUMBER(VALUE(LEFT(Q186,2))),ISNUMBER(VALUE(RIGHT(Q186,2))),VALUE(LEFT(Q186,2))&lt;=23,VALUE(RIGHT(Q186,2))&lt;=59))</formula1>
    </dataValidation>
    <dataValidation type="custom" showErrorMessage="1" errorStyle="stop" errorTitle="Invalid Time" error="Enter time as HH:MM (e.g. 09:30) or leave blank" sqref="Q187">
      <formula1>OR(Q187="",AND(LEN(Q187)=5,MID(Q187,3,1)=":",ISNUMBER(VALUE(LEFT(Q187,2))),ISNUMBER(VALUE(RIGHT(Q187,2))),VALUE(LEFT(Q187,2))&lt;=23,VALUE(RIGHT(Q187,2))&lt;=59))</formula1>
    </dataValidation>
    <dataValidation type="custom" showErrorMessage="1" errorStyle="stop" errorTitle="Invalid Time" error="Enter time as HH:MM (e.g. 09:30) or leave blank" sqref="Q188">
      <formula1>OR(Q188="",AND(LEN(Q188)=5,MID(Q188,3,1)=":",ISNUMBER(VALUE(LEFT(Q188,2))),ISNUMBER(VALUE(RIGHT(Q188,2))),VALUE(LEFT(Q188,2))&lt;=23,VALUE(RIGHT(Q188,2))&lt;=59))</formula1>
    </dataValidation>
    <dataValidation type="custom" showErrorMessage="1" errorStyle="stop" errorTitle="Invalid Time" error="Enter time as HH:MM (e.g. 09:30) or leave blank" sqref="Q189">
      <formula1>OR(Q189="",AND(LEN(Q189)=5,MID(Q189,3,1)=":",ISNUMBER(VALUE(LEFT(Q189,2))),ISNUMBER(VALUE(RIGHT(Q189,2))),VALUE(LEFT(Q189,2))&lt;=23,VALUE(RIGHT(Q189,2))&lt;=59))</formula1>
    </dataValidation>
    <dataValidation type="custom" showErrorMessage="1" errorStyle="stop" errorTitle="Invalid Time" error="Enter time as HH:MM (e.g. 09:30) or leave blank" sqref="Q19">
      <formula1>OR(Q19="",AND(LEN(Q19)=5,MID(Q19,3,1)=":",ISNUMBER(VALUE(LEFT(Q19,2))),ISNUMBER(VALUE(RIGHT(Q19,2))),VALUE(LEFT(Q19,2))&lt;=23,VALUE(RIGHT(Q19,2))&lt;=59))</formula1>
    </dataValidation>
    <dataValidation type="custom" showErrorMessage="1" errorStyle="stop" errorTitle="Invalid Time" error="Enter time as HH:MM (e.g. 09:30) or leave blank" sqref="Q190">
      <formula1>OR(Q190="",AND(LEN(Q190)=5,MID(Q190,3,1)=":",ISNUMBER(VALUE(LEFT(Q190,2))),ISNUMBER(VALUE(RIGHT(Q190,2))),VALUE(LEFT(Q190,2))&lt;=23,VALUE(RIGHT(Q190,2))&lt;=59))</formula1>
    </dataValidation>
    <dataValidation type="custom" showErrorMessage="1" errorStyle="stop" errorTitle="Invalid Time" error="Enter time as HH:MM (e.g. 09:30) or leave blank" sqref="Q191">
      <formula1>OR(Q191="",AND(LEN(Q191)=5,MID(Q191,3,1)=":",ISNUMBER(VALUE(LEFT(Q191,2))),ISNUMBER(VALUE(RIGHT(Q191,2))),VALUE(LEFT(Q191,2))&lt;=23,VALUE(RIGHT(Q191,2))&lt;=59))</formula1>
    </dataValidation>
    <dataValidation type="custom" showErrorMessage="1" errorStyle="stop" errorTitle="Invalid Time" error="Enter time as HH:MM (e.g. 09:30) or leave blank" sqref="Q192">
      <formula1>OR(Q192="",AND(LEN(Q192)=5,MID(Q192,3,1)=":",ISNUMBER(VALUE(LEFT(Q192,2))),ISNUMBER(VALUE(RIGHT(Q192,2))),VALUE(LEFT(Q192,2))&lt;=23,VALUE(RIGHT(Q192,2))&lt;=59))</formula1>
    </dataValidation>
    <dataValidation type="custom" showErrorMessage="1" errorStyle="stop" errorTitle="Invalid Time" error="Enter time as HH:MM (e.g. 09:30) or leave blank" sqref="Q193">
      <formula1>OR(Q193="",AND(LEN(Q193)=5,MID(Q193,3,1)=":",ISNUMBER(VALUE(LEFT(Q193,2))),ISNUMBER(VALUE(RIGHT(Q193,2))),VALUE(LEFT(Q193,2))&lt;=23,VALUE(RIGHT(Q193,2))&lt;=59))</formula1>
    </dataValidation>
    <dataValidation type="custom" showErrorMessage="1" errorStyle="stop" errorTitle="Invalid Time" error="Enter time as HH:MM (e.g. 09:30) or leave blank" sqref="Q194">
      <formula1>OR(Q194="",AND(LEN(Q194)=5,MID(Q194,3,1)=":",ISNUMBER(VALUE(LEFT(Q194,2))),ISNUMBER(VALUE(RIGHT(Q194,2))),VALUE(LEFT(Q194,2))&lt;=23,VALUE(RIGHT(Q194,2))&lt;=59))</formula1>
    </dataValidation>
    <dataValidation type="custom" showErrorMessage="1" errorStyle="stop" errorTitle="Invalid Time" error="Enter time as HH:MM (e.g. 09:30) or leave blank" sqref="Q195">
      <formula1>OR(Q195="",AND(LEN(Q195)=5,MID(Q195,3,1)=":",ISNUMBER(VALUE(LEFT(Q195,2))),ISNUMBER(VALUE(RIGHT(Q195,2))),VALUE(LEFT(Q195,2))&lt;=23,VALUE(RIGHT(Q195,2))&lt;=59))</formula1>
    </dataValidation>
    <dataValidation type="custom" showErrorMessage="1" errorStyle="stop" errorTitle="Invalid Time" error="Enter time as HH:MM (e.g. 09:30) or leave blank" sqref="Q196">
      <formula1>OR(Q196="",AND(LEN(Q196)=5,MID(Q196,3,1)=":",ISNUMBER(VALUE(LEFT(Q196,2))),ISNUMBER(VALUE(RIGHT(Q196,2))),VALUE(LEFT(Q196,2))&lt;=23,VALUE(RIGHT(Q196,2))&lt;=59))</formula1>
    </dataValidation>
    <dataValidation type="custom" showErrorMessage="1" errorStyle="stop" errorTitle="Invalid Time" error="Enter time as HH:MM (e.g. 09:30) or leave blank" sqref="Q197">
      <formula1>OR(Q197="",AND(LEN(Q197)=5,MID(Q197,3,1)=":",ISNUMBER(VALUE(LEFT(Q197,2))),ISNUMBER(VALUE(RIGHT(Q197,2))),VALUE(LEFT(Q197,2))&lt;=23,VALUE(RIGHT(Q197,2))&lt;=59))</formula1>
    </dataValidation>
    <dataValidation type="custom" showErrorMessage="1" errorStyle="stop" errorTitle="Invalid Time" error="Enter time as HH:MM (e.g. 09:30) or leave blank" sqref="Q198">
      <formula1>OR(Q198="",AND(LEN(Q198)=5,MID(Q198,3,1)=":",ISNUMBER(VALUE(LEFT(Q198,2))),ISNUMBER(VALUE(RIGHT(Q198,2))),VALUE(LEFT(Q198,2))&lt;=23,VALUE(RIGHT(Q198,2))&lt;=59))</formula1>
    </dataValidation>
    <dataValidation type="custom" showErrorMessage="1" errorStyle="stop" errorTitle="Invalid Time" error="Enter time as HH:MM (e.g. 09:30) or leave blank" sqref="Q199">
      <formula1>OR(Q199="",AND(LEN(Q199)=5,MID(Q199,3,1)=":",ISNUMBER(VALUE(LEFT(Q199,2))),ISNUMBER(VALUE(RIGHT(Q199,2))),VALUE(LEFT(Q199,2))&lt;=23,VALUE(RIGHT(Q199,2))&lt;=59))</formula1>
    </dataValidation>
    <dataValidation type="custom" showErrorMessage="1" errorStyle="stop" errorTitle="Invalid Time" error="Enter time as HH:MM (e.g. 09:30) or leave blank" sqref="Q20">
      <formula1>OR(Q20="",AND(LEN(Q20)=5,MID(Q20,3,1)=":",ISNUMBER(VALUE(LEFT(Q20,2))),ISNUMBER(VALUE(RIGHT(Q20,2))),VALUE(LEFT(Q20,2))&lt;=23,VALUE(RIGHT(Q20,2))&lt;=59))</formula1>
    </dataValidation>
    <dataValidation type="custom" showErrorMessage="1" errorStyle="stop" errorTitle="Invalid Time" error="Enter time as HH:MM (e.g. 09:30) or leave blank" sqref="Q200">
      <formula1>OR(Q200="",AND(LEN(Q200)=5,MID(Q200,3,1)=":",ISNUMBER(VALUE(LEFT(Q200,2))),ISNUMBER(VALUE(RIGHT(Q200,2))),VALUE(LEFT(Q200,2))&lt;=23,VALUE(RIGHT(Q200,2))&lt;=59))</formula1>
    </dataValidation>
    <dataValidation type="custom" showErrorMessage="1" errorStyle="stop" errorTitle="Invalid Time" error="Enter time as HH:MM (e.g. 09:30) or leave blank" sqref="Q201">
      <formula1>OR(Q201="",AND(LEN(Q201)=5,MID(Q201,3,1)=":",ISNUMBER(VALUE(LEFT(Q201,2))),ISNUMBER(VALUE(RIGHT(Q201,2))),VALUE(LEFT(Q201,2))&lt;=23,VALUE(RIGHT(Q201,2))&lt;=59))</formula1>
    </dataValidation>
    <dataValidation type="custom" showErrorMessage="1" errorStyle="stop" errorTitle="Invalid Time" error="Enter time as HH:MM (e.g. 09:30) or leave blank" sqref="Q202">
      <formula1>OR(Q202="",AND(LEN(Q202)=5,MID(Q202,3,1)=":",ISNUMBER(VALUE(LEFT(Q202,2))),ISNUMBER(VALUE(RIGHT(Q202,2))),VALUE(LEFT(Q202,2))&lt;=23,VALUE(RIGHT(Q202,2))&lt;=59))</formula1>
    </dataValidation>
    <dataValidation type="custom" showErrorMessage="1" errorStyle="stop" errorTitle="Invalid Time" error="Enter time as HH:MM (e.g. 09:30) or leave blank" sqref="Q203">
      <formula1>OR(Q203="",AND(LEN(Q203)=5,MID(Q203,3,1)=":",ISNUMBER(VALUE(LEFT(Q203,2))),ISNUMBER(VALUE(RIGHT(Q203,2))),VALUE(LEFT(Q203,2))&lt;=23,VALUE(RIGHT(Q203,2))&lt;=59))</formula1>
    </dataValidation>
    <dataValidation type="custom" showErrorMessage="1" errorStyle="stop" errorTitle="Invalid Time" error="Enter time as HH:MM (e.g. 09:30) or leave blank" sqref="Q204">
      <formula1>OR(Q204="",AND(LEN(Q204)=5,MID(Q204,3,1)=":",ISNUMBER(VALUE(LEFT(Q204,2))),ISNUMBER(VALUE(RIGHT(Q204,2))),VALUE(LEFT(Q204,2))&lt;=23,VALUE(RIGHT(Q204,2))&lt;=59))</formula1>
    </dataValidation>
    <dataValidation type="custom" showErrorMessage="1" errorStyle="stop" errorTitle="Invalid Time" error="Enter time as HH:MM (e.g. 09:30) or leave blank" sqref="Q205">
      <formula1>OR(Q205="",AND(LEN(Q205)=5,MID(Q205,3,1)=":",ISNUMBER(VALUE(LEFT(Q205,2))),ISNUMBER(VALUE(RIGHT(Q205,2))),VALUE(LEFT(Q205,2))&lt;=23,VALUE(RIGHT(Q205,2))&lt;=59))</formula1>
    </dataValidation>
    <dataValidation type="custom" showErrorMessage="1" errorStyle="stop" errorTitle="Invalid Time" error="Enter time as HH:MM (e.g. 09:30) or leave blank" sqref="Q206">
      <formula1>OR(Q206="",AND(LEN(Q206)=5,MID(Q206,3,1)=":",ISNUMBER(VALUE(LEFT(Q206,2))),ISNUMBER(VALUE(RIGHT(Q206,2))),VALUE(LEFT(Q206,2))&lt;=23,VALUE(RIGHT(Q206,2))&lt;=59))</formula1>
    </dataValidation>
    <dataValidation type="custom" showErrorMessage="1" errorStyle="stop" errorTitle="Invalid Time" error="Enter time as HH:MM (e.g. 09:30) or leave blank" sqref="Q207">
      <formula1>OR(Q207="",AND(LEN(Q207)=5,MID(Q207,3,1)=":",ISNUMBER(VALUE(LEFT(Q207,2))),ISNUMBER(VALUE(RIGHT(Q207,2))),VALUE(LEFT(Q207,2))&lt;=23,VALUE(RIGHT(Q207,2))&lt;=59))</formula1>
    </dataValidation>
    <dataValidation type="custom" showErrorMessage="1" errorStyle="stop" errorTitle="Invalid Time" error="Enter time as HH:MM (e.g. 09:30) or leave blank" sqref="Q208">
      <formula1>OR(Q208="",AND(LEN(Q208)=5,MID(Q208,3,1)=":",ISNUMBER(VALUE(LEFT(Q208,2))),ISNUMBER(VALUE(RIGHT(Q208,2))),VALUE(LEFT(Q208,2))&lt;=23,VALUE(RIGHT(Q208,2))&lt;=59))</formula1>
    </dataValidation>
    <dataValidation type="custom" showErrorMessage="1" errorStyle="stop" errorTitle="Invalid Time" error="Enter time as HH:MM (e.g. 09:30) or leave blank" sqref="Q209">
      <formula1>OR(Q209="",AND(LEN(Q209)=5,MID(Q209,3,1)=":",ISNUMBER(VALUE(LEFT(Q209,2))),ISNUMBER(VALUE(RIGHT(Q209,2))),VALUE(LEFT(Q209,2))&lt;=23,VALUE(RIGHT(Q209,2))&lt;=59))</formula1>
    </dataValidation>
    <dataValidation type="custom" showErrorMessage="1" errorStyle="stop" errorTitle="Invalid Time" error="Enter time as HH:MM (e.g. 09:30) or leave blank" sqref="Q21">
      <formula1>OR(Q21="",AND(LEN(Q21)=5,MID(Q21,3,1)=":",ISNUMBER(VALUE(LEFT(Q21,2))),ISNUMBER(VALUE(RIGHT(Q21,2))),VALUE(LEFT(Q21,2))&lt;=23,VALUE(RIGHT(Q21,2))&lt;=59))</formula1>
    </dataValidation>
    <dataValidation type="custom" showErrorMessage="1" errorStyle="stop" errorTitle="Invalid Time" error="Enter time as HH:MM (e.g. 09:30) or leave blank" sqref="Q210">
      <formula1>OR(Q210="",AND(LEN(Q210)=5,MID(Q210,3,1)=":",ISNUMBER(VALUE(LEFT(Q210,2))),ISNUMBER(VALUE(RIGHT(Q210,2))),VALUE(LEFT(Q210,2))&lt;=23,VALUE(RIGHT(Q210,2))&lt;=59))</formula1>
    </dataValidation>
    <dataValidation type="custom" showErrorMessage="1" errorStyle="stop" errorTitle="Invalid Time" error="Enter time as HH:MM (e.g. 09:30) or leave blank" sqref="Q211">
      <formula1>OR(Q211="",AND(LEN(Q211)=5,MID(Q211,3,1)=":",ISNUMBER(VALUE(LEFT(Q211,2))),ISNUMBER(VALUE(RIGHT(Q211,2))),VALUE(LEFT(Q211,2))&lt;=23,VALUE(RIGHT(Q211,2))&lt;=59))</formula1>
    </dataValidation>
    <dataValidation type="custom" showErrorMessage="1" errorStyle="stop" errorTitle="Invalid Time" error="Enter time as HH:MM (e.g. 09:30) or leave blank" sqref="Q212">
      <formula1>OR(Q212="",AND(LEN(Q212)=5,MID(Q212,3,1)=":",ISNUMBER(VALUE(LEFT(Q212,2))),ISNUMBER(VALUE(RIGHT(Q212,2))),VALUE(LEFT(Q212,2))&lt;=23,VALUE(RIGHT(Q212,2))&lt;=59))</formula1>
    </dataValidation>
    <dataValidation type="custom" showErrorMessage="1" errorStyle="stop" errorTitle="Invalid Time" error="Enter time as HH:MM (e.g. 09:30) or leave blank" sqref="Q213">
      <formula1>OR(Q213="",AND(LEN(Q213)=5,MID(Q213,3,1)=":",ISNUMBER(VALUE(LEFT(Q213,2))),ISNUMBER(VALUE(RIGHT(Q213,2))),VALUE(LEFT(Q213,2))&lt;=23,VALUE(RIGHT(Q213,2))&lt;=59))</formula1>
    </dataValidation>
    <dataValidation type="custom" showErrorMessage="1" errorStyle="stop" errorTitle="Invalid Time" error="Enter time as HH:MM (e.g. 09:30) or leave blank" sqref="Q214">
      <formula1>OR(Q214="",AND(LEN(Q214)=5,MID(Q214,3,1)=":",ISNUMBER(VALUE(LEFT(Q214,2))),ISNUMBER(VALUE(RIGHT(Q214,2))),VALUE(LEFT(Q214,2))&lt;=23,VALUE(RIGHT(Q214,2))&lt;=59))</formula1>
    </dataValidation>
    <dataValidation type="custom" showErrorMessage="1" errorStyle="stop" errorTitle="Invalid Time" error="Enter time as HH:MM (e.g. 09:30) or leave blank" sqref="Q215">
      <formula1>OR(Q215="",AND(LEN(Q215)=5,MID(Q215,3,1)=":",ISNUMBER(VALUE(LEFT(Q215,2))),ISNUMBER(VALUE(RIGHT(Q215,2))),VALUE(LEFT(Q215,2))&lt;=23,VALUE(RIGHT(Q215,2))&lt;=59))</formula1>
    </dataValidation>
    <dataValidation type="custom" showErrorMessage="1" errorStyle="stop" errorTitle="Invalid Time" error="Enter time as HH:MM (e.g. 09:30) or leave blank" sqref="Q216">
      <formula1>OR(Q216="",AND(LEN(Q216)=5,MID(Q216,3,1)=":",ISNUMBER(VALUE(LEFT(Q216,2))),ISNUMBER(VALUE(RIGHT(Q216,2))),VALUE(LEFT(Q216,2))&lt;=23,VALUE(RIGHT(Q216,2))&lt;=59))</formula1>
    </dataValidation>
    <dataValidation type="custom" showErrorMessage="1" errorStyle="stop" errorTitle="Invalid Time" error="Enter time as HH:MM (e.g. 09:30) or leave blank" sqref="Q217">
      <formula1>OR(Q217="",AND(LEN(Q217)=5,MID(Q217,3,1)=":",ISNUMBER(VALUE(LEFT(Q217,2))),ISNUMBER(VALUE(RIGHT(Q217,2))),VALUE(LEFT(Q217,2))&lt;=23,VALUE(RIGHT(Q217,2))&lt;=59))</formula1>
    </dataValidation>
    <dataValidation type="custom" showErrorMessage="1" errorStyle="stop" errorTitle="Invalid Time" error="Enter time as HH:MM (e.g. 09:30) or leave blank" sqref="Q218">
      <formula1>OR(Q218="",AND(LEN(Q218)=5,MID(Q218,3,1)=":",ISNUMBER(VALUE(LEFT(Q218,2))),ISNUMBER(VALUE(RIGHT(Q218,2))),VALUE(LEFT(Q218,2))&lt;=23,VALUE(RIGHT(Q218,2))&lt;=59))</formula1>
    </dataValidation>
    <dataValidation type="custom" showErrorMessage="1" errorStyle="stop" errorTitle="Invalid Time" error="Enter time as HH:MM (e.g. 09:30) or leave blank" sqref="Q219">
      <formula1>OR(Q219="",AND(LEN(Q219)=5,MID(Q219,3,1)=":",ISNUMBER(VALUE(LEFT(Q219,2))),ISNUMBER(VALUE(RIGHT(Q219,2))),VALUE(LEFT(Q219,2))&lt;=23,VALUE(RIGHT(Q219,2))&lt;=59))</formula1>
    </dataValidation>
    <dataValidation type="custom" showErrorMessage="1" errorStyle="stop" errorTitle="Invalid Time" error="Enter time as HH:MM (e.g. 09:30) or leave blank" sqref="Q22">
      <formula1>OR(Q22="",AND(LEN(Q22)=5,MID(Q22,3,1)=":",ISNUMBER(VALUE(LEFT(Q22,2))),ISNUMBER(VALUE(RIGHT(Q22,2))),VALUE(LEFT(Q22,2))&lt;=23,VALUE(RIGHT(Q22,2))&lt;=59))</formula1>
    </dataValidation>
    <dataValidation type="custom" showErrorMessage="1" errorStyle="stop" errorTitle="Invalid Time" error="Enter time as HH:MM (e.g. 09:30) or leave blank" sqref="Q220">
      <formula1>OR(Q220="",AND(LEN(Q220)=5,MID(Q220,3,1)=":",ISNUMBER(VALUE(LEFT(Q220,2))),ISNUMBER(VALUE(RIGHT(Q220,2))),VALUE(LEFT(Q220,2))&lt;=23,VALUE(RIGHT(Q220,2))&lt;=59))</formula1>
    </dataValidation>
    <dataValidation type="custom" showErrorMessage="1" errorStyle="stop" errorTitle="Invalid Time" error="Enter time as HH:MM (e.g. 09:30) or leave blank" sqref="Q221">
      <formula1>OR(Q221="",AND(LEN(Q221)=5,MID(Q221,3,1)=":",ISNUMBER(VALUE(LEFT(Q221,2))),ISNUMBER(VALUE(RIGHT(Q221,2))),VALUE(LEFT(Q221,2))&lt;=23,VALUE(RIGHT(Q221,2))&lt;=59))</formula1>
    </dataValidation>
    <dataValidation type="custom" showErrorMessage="1" errorStyle="stop" errorTitle="Invalid Time" error="Enter time as HH:MM (e.g. 09:30) or leave blank" sqref="Q222">
      <formula1>OR(Q222="",AND(LEN(Q222)=5,MID(Q222,3,1)=":",ISNUMBER(VALUE(LEFT(Q222,2))),ISNUMBER(VALUE(RIGHT(Q222,2))),VALUE(LEFT(Q222,2))&lt;=23,VALUE(RIGHT(Q222,2))&lt;=59))</formula1>
    </dataValidation>
    <dataValidation type="custom" showErrorMessage="1" errorStyle="stop" errorTitle="Invalid Time" error="Enter time as HH:MM (e.g. 09:30) or leave blank" sqref="Q223">
      <formula1>OR(Q223="",AND(LEN(Q223)=5,MID(Q223,3,1)=":",ISNUMBER(VALUE(LEFT(Q223,2))),ISNUMBER(VALUE(RIGHT(Q223,2))),VALUE(LEFT(Q223,2))&lt;=23,VALUE(RIGHT(Q223,2))&lt;=59))</formula1>
    </dataValidation>
    <dataValidation type="custom" showErrorMessage="1" errorStyle="stop" errorTitle="Invalid Time" error="Enter time as HH:MM (e.g. 09:30) or leave blank" sqref="Q224">
      <formula1>OR(Q224="",AND(LEN(Q224)=5,MID(Q224,3,1)=":",ISNUMBER(VALUE(LEFT(Q224,2))),ISNUMBER(VALUE(RIGHT(Q224,2))),VALUE(LEFT(Q224,2))&lt;=23,VALUE(RIGHT(Q224,2))&lt;=59))</formula1>
    </dataValidation>
    <dataValidation type="custom" showErrorMessage="1" errorStyle="stop" errorTitle="Invalid Time" error="Enter time as HH:MM (e.g. 09:30) or leave blank" sqref="Q225">
      <formula1>OR(Q225="",AND(LEN(Q225)=5,MID(Q225,3,1)=":",ISNUMBER(VALUE(LEFT(Q225,2))),ISNUMBER(VALUE(RIGHT(Q225,2))),VALUE(LEFT(Q225,2))&lt;=23,VALUE(RIGHT(Q225,2))&lt;=59))</formula1>
    </dataValidation>
    <dataValidation type="custom" showErrorMessage="1" errorStyle="stop" errorTitle="Invalid Time" error="Enter time as HH:MM (e.g. 09:30) or leave blank" sqref="Q226">
      <formula1>OR(Q226="",AND(LEN(Q226)=5,MID(Q226,3,1)=":",ISNUMBER(VALUE(LEFT(Q226,2))),ISNUMBER(VALUE(RIGHT(Q226,2))),VALUE(LEFT(Q226,2))&lt;=23,VALUE(RIGHT(Q226,2))&lt;=59))</formula1>
    </dataValidation>
    <dataValidation type="custom" showErrorMessage="1" errorStyle="stop" errorTitle="Invalid Time" error="Enter time as HH:MM (e.g. 09:30) or leave blank" sqref="Q227">
      <formula1>OR(Q227="",AND(LEN(Q227)=5,MID(Q227,3,1)=":",ISNUMBER(VALUE(LEFT(Q227,2))),ISNUMBER(VALUE(RIGHT(Q227,2))),VALUE(LEFT(Q227,2))&lt;=23,VALUE(RIGHT(Q227,2))&lt;=59))</formula1>
    </dataValidation>
    <dataValidation type="custom" showErrorMessage="1" errorStyle="stop" errorTitle="Invalid Time" error="Enter time as HH:MM (e.g. 09:30) or leave blank" sqref="Q228">
      <formula1>OR(Q228="",AND(LEN(Q228)=5,MID(Q228,3,1)=":",ISNUMBER(VALUE(LEFT(Q228,2))),ISNUMBER(VALUE(RIGHT(Q228,2))),VALUE(LEFT(Q228,2))&lt;=23,VALUE(RIGHT(Q228,2))&lt;=59))</formula1>
    </dataValidation>
    <dataValidation type="custom" showErrorMessage="1" errorStyle="stop" errorTitle="Invalid Time" error="Enter time as HH:MM (e.g. 09:30) or leave blank" sqref="Q229">
      <formula1>OR(Q229="",AND(LEN(Q229)=5,MID(Q229,3,1)=":",ISNUMBER(VALUE(LEFT(Q229,2))),ISNUMBER(VALUE(RIGHT(Q229,2))),VALUE(LEFT(Q229,2))&lt;=23,VALUE(RIGHT(Q229,2))&lt;=59))</formula1>
    </dataValidation>
    <dataValidation type="custom" showErrorMessage="1" errorStyle="stop" errorTitle="Invalid Time" error="Enter time as HH:MM (e.g. 09:30) or leave blank" sqref="Q23">
      <formula1>OR(Q23="",AND(LEN(Q23)=5,MID(Q23,3,1)=":",ISNUMBER(VALUE(LEFT(Q23,2))),ISNUMBER(VALUE(RIGHT(Q23,2))),VALUE(LEFT(Q23,2))&lt;=23,VALUE(RIGHT(Q23,2))&lt;=59))</formula1>
    </dataValidation>
    <dataValidation type="custom" showErrorMessage="1" errorStyle="stop" errorTitle="Invalid Time" error="Enter time as HH:MM (e.g. 09:30) or leave blank" sqref="Q230">
      <formula1>OR(Q230="",AND(LEN(Q230)=5,MID(Q230,3,1)=":",ISNUMBER(VALUE(LEFT(Q230,2))),ISNUMBER(VALUE(RIGHT(Q230,2))),VALUE(LEFT(Q230,2))&lt;=23,VALUE(RIGHT(Q230,2))&lt;=59))</formula1>
    </dataValidation>
    <dataValidation type="custom" showErrorMessage="1" errorStyle="stop" errorTitle="Invalid Time" error="Enter time as HH:MM (e.g. 09:30) or leave blank" sqref="Q231">
      <formula1>OR(Q231="",AND(LEN(Q231)=5,MID(Q231,3,1)=":",ISNUMBER(VALUE(LEFT(Q231,2))),ISNUMBER(VALUE(RIGHT(Q231,2))),VALUE(LEFT(Q231,2))&lt;=23,VALUE(RIGHT(Q231,2))&lt;=59))</formula1>
    </dataValidation>
    <dataValidation type="custom" showErrorMessage="1" errorStyle="stop" errorTitle="Invalid Time" error="Enter time as HH:MM (e.g. 09:30) or leave blank" sqref="Q232">
      <formula1>OR(Q232="",AND(LEN(Q232)=5,MID(Q232,3,1)=":",ISNUMBER(VALUE(LEFT(Q232,2))),ISNUMBER(VALUE(RIGHT(Q232,2))),VALUE(LEFT(Q232,2))&lt;=23,VALUE(RIGHT(Q232,2))&lt;=59))</formula1>
    </dataValidation>
    <dataValidation type="custom" showErrorMessage="1" errorStyle="stop" errorTitle="Invalid Time" error="Enter time as HH:MM (e.g. 09:30) or leave blank" sqref="Q233">
      <formula1>OR(Q233="",AND(LEN(Q233)=5,MID(Q233,3,1)=":",ISNUMBER(VALUE(LEFT(Q233,2))),ISNUMBER(VALUE(RIGHT(Q233,2))),VALUE(LEFT(Q233,2))&lt;=23,VALUE(RIGHT(Q233,2))&lt;=59))</formula1>
    </dataValidation>
    <dataValidation type="custom" showErrorMessage="1" errorStyle="stop" errorTitle="Invalid Time" error="Enter time as HH:MM (e.g. 09:30) or leave blank" sqref="Q234">
      <formula1>OR(Q234="",AND(LEN(Q234)=5,MID(Q234,3,1)=":",ISNUMBER(VALUE(LEFT(Q234,2))),ISNUMBER(VALUE(RIGHT(Q234,2))),VALUE(LEFT(Q234,2))&lt;=23,VALUE(RIGHT(Q234,2))&lt;=59))</formula1>
    </dataValidation>
    <dataValidation type="custom" showErrorMessage="1" errorStyle="stop" errorTitle="Invalid Time" error="Enter time as HH:MM (e.g. 09:30) or leave blank" sqref="Q235">
      <formula1>OR(Q235="",AND(LEN(Q235)=5,MID(Q235,3,1)=":",ISNUMBER(VALUE(LEFT(Q235,2))),ISNUMBER(VALUE(RIGHT(Q235,2))),VALUE(LEFT(Q235,2))&lt;=23,VALUE(RIGHT(Q235,2))&lt;=59))</formula1>
    </dataValidation>
    <dataValidation type="custom" showErrorMessage="1" errorStyle="stop" errorTitle="Invalid Time" error="Enter time as HH:MM (e.g. 09:30) or leave blank" sqref="Q236">
      <formula1>OR(Q236="",AND(LEN(Q236)=5,MID(Q236,3,1)=":",ISNUMBER(VALUE(LEFT(Q236,2))),ISNUMBER(VALUE(RIGHT(Q236,2))),VALUE(LEFT(Q236,2))&lt;=23,VALUE(RIGHT(Q236,2))&lt;=59))</formula1>
    </dataValidation>
    <dataValidation type="custom" showErrorMessage="1" errorStyle="stop" errorTitle="Invalid Time" error="Enter time as HH:MM (e.g. 09:30) or leave blank" sqref="Q237">
      <formula1>OR(Q237="",AND(LEN(Q237)=5,MID(Q237,3,1)=":",ISNUMBER(VALUE(LEFT(Q237,2))),ISNUMBER(VALUE(RIGHT(Q237,2))),VALUE(LEFT(Q237,2))&lt;=23,VALUE(RIGHT(Q237,2))&lt;=59))</formula1>
    </dataValidation>
    <dataValidation type="custom" showErrorMessage="1" errorStyle="stop" errorTitle="Invalid Time" error="Enter time as HH:MM (e.g. 09:30) or leave blank" sqref="Q238">
      <formula1>OR(Q238="",AND(LEN(Q238)=5,MID(Q238,3,1)=":",ISNUMBER(VALUE(LEFT(Q238,2))),ISNUMBER(VALUE(RIGHT(Q238,2))),VALUE(LEFT(Q238,2))&lt;=23,VALUE(RIGHT(Q238,2))&lt;=59))</formula1>
    </dataValidation>
    <dataValidation type="custom" showErrorMessage="1" errorStyle="stop" errorTitle="Invalid Time" error="Enter time as HH:MM (e.g. 09:30) or leave blank" sqref="Q239">
      <formula1>OR(Q239="",AND(LEN(Q239)=5,MID(Q239,3,1)=":",ISNUMBER(VALUE(LEFT(Q239,2))),ISNUMBER(VALUE(RIGHT(Q239,2))),VALUE(LEFT(Q239,2))&lt;=23,VALUE(RIGHT(Q239,2))&lt;=59))</formula1>
    </dataValidation>
    <dataValidation type="custom" showErrorMessage="1" errorStyle="stop" errorTitle="Invalid Time" error="Enter time as HH:MM (e.g. 09:30) or leave blank" sqref="Q24">
      <formula1>OR(Q24="",AND(LEN(Q24)=5,MID(Q24,3,1)=":",ISNUMBER(VALUE(LEFT(Q24,2))),ISNUMBER(VALUE(RIGHT(Q24,2))),VALUE(LEFT(Q24,2))&lt;=23,VALUE(RIGHT(Q24,2))&lt;=59))</formula1>
    </dataValidation>
    <dataValidation type="custom" showErrorMessage="1" errorStyle="stop" errorTitle="Invalid Time" error="Enter time as HH:MM (e.g. 09:30) or leave blank" sqref="Q240">
      <formula1>OR(Q240="",AND(LEN(Q240)=5,MID(Q240,3,1)=":",ISNUMBER(VALUE(LEFT(Q240,2))),ISNUMBER(VALUE(RIGHT(Q240,2))),VALUE(LEFT(Q240,2))&lt;=23,VALUE(RIGHT(Q240,2))&lt;=59))</formula1>
    </dataValidation>
    <dataValidation type="custom" showErrorMessage="1" errorStyle="stop" errorTitle="Invalid Time" error="Enter time as HH:MM (e.g. 09:30) or leave blank" sqref="Q241">
      <formula1>OR(Q241="",AND(LEN(Q241)=5,MID(Q241,3,1)=":",ISNUMBER(VALUE(LEFT(Q241,2))),ISNUMBER(VALUE(RIGHT(Q241,2))),VALUE(LEFT(Q241,2))&lt;=23,VALUE(RIGHT(Q241,2))&lt;=59))</formula1>
    </dataValidation>
    <dataValidation type="custom" showErrorMessage="1" errorStyle="stop" errorTitle="Invalid Time" error="Enter time as HH:MM (e.g. 09:30) or leave blank" sqref="Q242">
      <formula1>OR(Q242="",AND(LEN(Q242)=5,MID(Q242,3,1)=":",ISNUMBER(VALUE(LEFT(Q242,2))),ISNUMBER(VALUE(RIGHT(Q242,2))),VALUE(LEFT(Q242,2))&lt;=23,VALUE(RIGHT(Q242,2))&lt;=59))</formula1>
    </dataValidation>
    <dataValidation type="custom" showErrorMessage="1" errorStyle="stop" errorTitle="Invalid Time" error="Enter time as HH:MM (e.g. 09:30) or leave blank" sqref="Q243">
      <formula1>OR(Q243="",AND(LEN(Q243)=5,MID(Q243,3,1)=":",ISNUMBER(VALUE(LEFT(Q243,2))),ISNUMBER(VALUE(RIGHT(Q243,2))),VALUE(LEFT(Q243,2))&lt;=23,VALUE(RIGHT(Q243,2))&lt;=59))</formula1>
    </dataValidation>
    <dataValidation type="custom" showErrorMessage="1" errorStyle="stop" errorTitle="Invalid Time" error="Enter time as HH:MM (e.g. 09:30) or leave blank" sqref="Q244">
      <formula1>OR(Q244="",AND(LEN(Q244)=5,MID(Q244,3,1)=":",ISNUMBER(VALUE(LEFT(Q244,2))),ISNUMBER(VALUE(RIGHT(Q244,2))),VALUE(LEFT(Q244,2))&lt;=23,VALUE(RIGHT(Q244,2))&lt;=59))</formula1>
    </dataValidation>
    <dataValidation type="custom" showErrorMessage="1" errorStyle="stop" errorTitle="Invalid Time" error="Enter time as HH:MM (e.g. 09:30) or leave blank" sqref="Q245">
      <formula1>OR(Q245="",AND(LEN(Q245)=5,MID(Q245,3,1)=":",ISNUMBER(VALUE(LEFT(Q245,2))),ISNUMBER(VALUE(RIGHT(Q245,2))),VALUE(LEFT(Q245,2))&lt;=23,VALUE(RIGHT(Q245,2))&lt;=59))</formula1>
    </dataValidation>
    <dataValidation type="custom" showErrorMessage="1" errorStyle="stop" errorTitle="Invalid Time" error="Enter time as HH:MM (e.g. 09:30) or leave blank" sqref="Q246">
      <formula1>OR(Q246="",AND(LEN(Q246)=5,MID(Q246,3,1)=":",ISNUMBER(VALUE(LEFT(Q246,2))),ISNUMBER(VALUE(RIGHT(Q246,2))),VALUE(LEFT(Q246,2))&lt;=23,VALUE(RIGHT(Q246,2))&lt;=59))</formula1>
    </dataValidation>
    <dataValidation type="custom" showErrorMessage="1" errorStyle="stop" errorTitle="Invalid Time" error="Enter time as HH:MM (e.g. 09:30) or leave blank" sqref="Q247">
      <formula1>OR(Q247="",AND(LEN(Q247)=5,MID(Q247,3,1)=":",ISNUMBER(VALUE(LEFT(Q247,2))),ISNUMBER(VALUE(RIGHT(Q247,2))),VALUE(LEFT(Q247,2))&lt;=23,VALUE(RIGHT(Q247,2))&lt;=59))</formula1>
    </dataValidation>
    <dataValidation type="custom" showErrorMessage="1" errorStyle="stop" errorTitle="Invalid Time" error="Enter time as HH:MM (e.g. 09:30) or leave blank" sqref="Q248">
      <formula1>OR(Q248="",AND(LEN(Q248)=5,MID(Q248,3,1)=":",ISNUMBER(VALUE(LEFT(Q248,2))),ISNUMBER(VALUE(RIGHT(Q248,2))),VALUE(LEFT(Q248,2))&lt;=23,VALUE(RIGHT(Q248,2))&lt;=59))</formula1>
    </dataValidation>
    <dataValidation type="custom" showErrorMessage="1" errorStyle="stop" errorTitle="Invalid Time" error="Enter time as HH:MM (e.g. 09:30) or leave blank" sqref="Q249">
      <formula1>OR(Q249="",AND(LEN(Q249)=5,MID(Q249,3,1)=":",ISNUMBER(VALUE(LEFT(Q249,2))),ISNUMBER(VALUE(RIGHT(Q249,2))),VALUE(LEFT(Q249,2))&lt;=23,VALUE(RIGHT(Q249,2))&lt;=59))</formula1>
    </dataValidation>
    <dataValidation type="custom" showErrorMessage="1" errorStyle="stop" errorTitle="Invalid Time" error="Enter time as HH:MM (e.g. 09:30) or leave blank" sqref="Q25">
      <formula1>OR(Q25="",AND(LEN(Q25)=5,MID(Q25,3,1)=":",ISNUMBER(VALUE(LEFT(Q25,2))),ISNUMBER(VALUE(RIGHT(Q25,2))),VALUE(LEFT(Q25,2))&lt;=23,VALUE(RIGHT(Q25,2))&lt;=59))</formula1>
    </dataValidation>
    <dataValidation type="custom" showErrorMessage="1" errorStyle="stop" errorTitle="Invalid Time" error="Enter time as HH:MM (e.g. 09:30) or leave blank" sqref="Q250">
      <formula1>OR(Q250="",AND(LEN(Q250)=5,MID(Q250,3,1)=":",ISNUMBER(VALUE(LEFT(Q250,2))),ISNUMBER(VALUE(RIGHT(Q250,2))),VALUE(LEFT(Q250,2))&lt;=23,VALUE(RIGHT(Q250,2))&lt;=59))</formula1>
    </dataValidation>
    <dataValidation type="custom" showErrorMessage="1" errorStyle="stop" errorTitle="Invalid Time" error="Enter time as HH:MM (e.g. 09:30) or leave blank" sqref="Q251">
      <formula1>OR(Q251="",AND(LEN(Q251)=5,MID(Q251,3,1)=":",ISNUMBER(VALUE(LEFT(Q251,2))),ISNUMBER(VALUE(RIGHT(Q251,2))),VALUE(LEFT(Q251,2))&lt;=23,VALUE(RIGHT(Q251,2))&lt;=59))</formula1>
    </dataValidation>
    <dataValidation type="custom" showErrorMessage="1" errorStyle="stop" errorTitle="Invalid Time" error="Enter time as HH:MM (e.g. 09:30) or leave blank" sqref="Q252">
      <formula1>OR(Q252="",AND(LEN(Q252)=5,MID(Q252,3,1)=":",ISNUMBER(VALUE(LEFT(Q252,2))),ISNUMBER(VALUE(RIGHT(Q252,2))),VALUE(LEFT(Q252,2))&lt;=23,VALUE(RIGHT(Q252,2))&lt;=59))</formula1>
    </dataValidation>
    <dataValidation type="custom" showErrorMessage="1" errorStyle="stop" errorTitle="Invalid Time" error="Enter time as HH:MM (e.g. 09:30) or leave blank" sqref="Q253">
      <formula1>OR(Q253="",AND(LEN(Q253)=5,MID(Q253,3,1)=":",ISNUMBER(VALUE(LEFT(Q253,2))),ISNUMBER(VALUE(RIGHT(Q253,2))),VALUE(LEFT(Q253,2))&lt;=23,VALUE(RIGHT(Q253,2))&lt;=59))</formula1>
    </dataValidation>
    <dataValidation type="custom" showErrorMessage="1" errorStyle="stop" errorTitle="Invalid Time" error="Enter time as HH:MM (e.g. 09:30) or leave blank" sqref="Q254">
      <formula1>OR(Q254="",AND(LEN(Q254)=5,MID(Q254,3,1)=":",ISNUMBER(VALUE(LEFT(Q254,2))),ISNUMBER(VALUE(RIGHT(Q254,2))),VALUE(LEFT(Q254,2))&lt;=23,VALUE(RIGHT(Q254,2))&lt;=59))</formula1>
    </dataValidation>
    <dataValidation type="custom" showErrorMessage="1" errorStyle="stop" errorTitle="Invalid Time" error="Enter time as HH:MM (e.g. 09:30) or leave blank" sqref="Q255">
      <formula1>OR(Q255="",AND(LEN(Q255)=5,MID(Q255,3,1)=":",ISNUMBER(VALUE(LEFT(Q255,2))),ISNUMBER(VALUE(RIGHT(Q255,2))),VALUE(LEFT(Q255,2))&lt;=23,VALUE(RIGHT(Q255,2))&lt;=59))</formula1>
    </dataValidation>
    <dataValidation type="custom" showErrorMessage="1" errorStyle="stop" errorTitle="Invalid Time" error="Enter time as HH:MM (e.g. 09:30) or leave blank" sqref="Q256">
      <formula1>OR(Q256="",AND(LEN(Q256)=5,MID(Q256,3,1)=":",ISNUMBER(VALUE(LEFT(Q256,2))),ISNUMBER(VALUE(RIGHT(Q256,2))),VALUE(LEFT(Q256,2))&lt;=23,VALUE(RIGHT(Q256,2))&lt;=59))</formula1>
    </dataValidation>
    <dataValidation type="custom" showErrorMessage="1" errorStyle="stop" errorTitle="Invalid Time" error="Enter time as HH:MM (e.g. 09:30) or leave blank" sqref="Q257">
      <formula1>OR(Q257="",AND(LEN(Q257)=5,MID(Q257,3,1)=":",ISNUMBER(VALUE(LEFT(Q257,2))),ISNUMBER(VALUE(RIGHT(Q257,2))),VALUE(LEFT(Q257,2))&lt;=23,VALUE(RIGHT(Q257,2))&lt;=59))</formula1>
    </dataValidation>
    <dataValidation type="custom" showErrorMessage="1" errorStyle="stop" errorTitle="Invalid Time" error="Enter time as HH:MM (e.g. 09:30) or leave blank" sqref="Q258">
      <formula1>OR(Q258="",AND(LEN(Q258)=5,MID(Q258,3,1)=":",ISNUMBER(VALUE(LEFT(Q258,2))),ISNUMBER(VALUE(RIGHT(Q258,2))),VALUE(LEFT(Q258,2))&lt;=23,VALUE(RIGHT(Q258,2))&lt;=59))</formula1>
    </dataValidation>
    <dataValidation type="custom" showErrorMessage="1" errorStyle="stop" errorTitle="Invalid Time" error="Enter time as HH:MM (e.g. 09:30) or leave blank" sqref="Q259">
      <formula1>OR(Q259="",AND(LEN(Q259)=5,MID(Q259,3,1)=":",ISNUMBER(VALUE(LEFT(Q259,2))),ISNUMBER(VALUE(RIGHT(Q259,2))),VALUE(LEFT(Q259,2))&lt;=23,VALUE(RIGHT(Q259,2))&lt;=59))</formula1>
    </dataValidation>
    <dataValidation type="custom" showErrorMessage="1" errorStyle="stop" errorTitle="Invalid Time" error="Enter time as HH:MM (e.g. 09:30) or leave blank" sqref="Q26">
      <formula1>OR(Q26="",AND(LEN(Q26)=5,MID(Q26,3,1)=":",ISNUMBER(VALUE(LEFT(Q26,2))),ISNUMBER(VALUE(RIGHT(Q26,2))),VALUE(LEFT(Q26,2))&lt;=23,VALUE(RIGHT(Q26,2))&lt;=59))</formula1>
    </dataValidation>
    <dataValidation type="custom" showErrorMessage="1" errorStyle="stop" errorTitle="Invalid Time" error="Enter time as HH:MM (e.g. 09:30) or leave blank" sqref="Q260">
      <formula1>OR(Q260="",AND(LEN(Q260)=5,MID(Q260,3,1)=":",ISNUMBER(VALUE(LEFT(Q260,2))),ISNUMBER(VALUE(RIGHT(Q260,2))),VALUE(LEFT(Q260,2))&lt;=23,VALUE(RIGHT(Q260,2))&lt;=59))</formula1>
    </dataValidation>
    <dataValidation type="custom" showErrorMessage="1" errorStyle="stop" errorTitle="Invalid Time" error="Enter time as HH:MM (e.g. 09:30) or leave blank" sqref="Q261">
      <formula1>OR(Q261="",AND(LEN(Q261)=5,MID(Q261,3,1)=":",ISNUMBER(VALUE(LEFT(Q261,2))),ISNUMBER(VALUE(RIGHT(Q261,2))),VALUE(LEFT(Q261,2))&lt;=23,VALUE(RIGHT(Q261,2))&lt;=59))</formula1>
    </dataValidation>
    <dataValidation type="custom" showErrorMessage="1" errorStyle="stop" errorTitle="Invalid Time" error="Enter time as HH:MM (e.g. 09:30) or leave blank" sqref="Q262">
      <formula1>OR(Q262="",AND(LEN(Q262)=5,MID(Q262,3,1)=":",ISNUMBER(VALUE(LEFT(Q262,2))),ISNUMBER(VALUE(RIGHT(Q262,2))),VALUE(LEFT(Q262,2))&lt;=23,VALUE(RIGHT(Q262,2))&lt;=59))</formula1>
    </dataValidation>
    <dataValidation type="custom" showErrorMessage="1" errorStyle="stop" errorTitle="Invalid Time" error="Enter time as HH:MM (e.g. 09:30) or leave blank" sqref="Q263">
      <formula1>OR(Q263="",AND(LEN(Q263)=5,MID(Q263,3,1)=":",ISNUMBER(VALUE(LEFT(Q263,2))),ISNUMBER(VALUE(RIGHT(Q263,2))),VALUE(LEFT(Q263,2))&lt;=23,VALUE(RIGHT(Q263,2))&lt;=59))</formula1>
    </dataValidation>
    <dataValidation type="custom" showErrorMessage="1" errorStyle="stop" errorTitle="Invalid Time" error="Enter time as HH:MM (e.g. 09:30) or leave blank" sqref="Q264">
      <formula1>OR(Q264="",AND(LEN(Q264)=5,MID(Q264,3,1)=":",ISNUMBER(VALUE(LEFT(Q264,2))),ISNUMBER(VALUE(RIGHT(Q264,2))),VALUE(LEFT(Q264,2))&lt;=23,VALUE(RIGHT(Q264,2))&lt;=59))</formula1>
    </dataValidation>
    <dataValidation type="custom" showErrorMessage="1" errorStyle="stop" errorTitle="Invalid Time" error="Enter time as HH:MM (e.g. 09:30) or leave blank" sqref="Q265">
      <formula1>OR(Q265="",AND(LEN(Q265)=5,MID(Q265,3,1)=":",ISNUMBER(VALUE(LEFT(Q265,2))),ISNUMBER(VALUE(RIGHT(Q265,2))),VALUE(LEFT(Q265,2))&lt;=23,VALUE(RIGHT(Q265,2))&lt;=59))</formula1>
    </dataValidation>
    <dataValidation type="custom" showErrorMessage="1" errorStyle="stop" errorTitle="Invalid Time" error="Enter time as HH:MM (e.g. 09:30) or leave blank" sqref="Q266">
      <formula1>OR(Q266="",AND(LEN(Q266)=5,MID(Q266,3,1)=":",ISNUMBER(VALUE(LEFT(Q266,2))),ISNUMBER(VALUE(RIGHT(Q266,2))),VALUE(LEFT(Q266,2))&lt;=23,VALUE(RIGHT(Q266,2))&lt;=59))</formula1>
    </dataValidation>
    <dataValidation type="custom" showErrorMessage="1" errorStyle="stop" errorTitle="Invalid Time" error="Enter time as HH:MM (e.g. 09:30) or leave blank" sqref="Q267">
      <formula1>OR(Q267="",AND(LEN(Q267)=5,MID(Q267,3,1)=":",ISNUMBER(VALUE(LEFT(Q267,2))),ISNUMBER(VALUE(RIGHT(Q267,2))),VALUE(LEFT(Q267,2))&lt;=23,VALUE(RIGHT(Q267,2))&lt;=59))</formula1>
    </dataValidation>
    <dataValidation type="custom" showErrorMessage="1" errorStyle="stop" errorTitle="Invalid Time" error="Enter time as HH:MM (e.g. 09:30) or leave blank" sqref="Q268">
      <formula1>OR(Q268="",AND(LEN(Q268)=5,MID(Q268,3,1)=":",ISNUMBER(VALUE(LEFT(Q268,2))),ISNUMBER(VALUE(RIGHT(Q268,2))),VALUE(LEFT(Q268,2))&lt;=23,VALUE(RIGHT(Q268,2))&lt;=59))</formula1>
    </dataValidation>
    <dataValidation type="custom" showErrorMessage="1" errorStyle="stop" errorTitle="Invalid Time" error="Enter time as HH:MM (e.g. 09:30) or leave blank" sqref="Q269">
      <formula1>OR(Q269="",AND(LEN(Q269)=5,MID(Q269,3,1)=":",ISNUMBER(VALUE(LEFT(Q269,2))),ISNUMBER(VALUE(RIGHT(Q269,2))),VALUE(LEFT(Q269,2))&lt;=23,VALUE(RIGHT(Q269,2))&lt;=59))</formula1>
    </dataValidation>
    <dataValidation type="custom" showErrorMessage="1" errorStyle="stop" errorTitle="Invalid Time" error="Enter time as HH:MM (e.g. 09:30) or leave blank" sqref="Q27">
      <formula1>OR(Q27="",AND(LEN(Q27)=5,MID(Q27,3,1)=":",ISNUMBER(VALUE(LEFT(Q27,2))),ISNUMBER(VALUE(RIGHT(Q27,2))),VALUE(LEFT(Q27,2))&lt;=23,VALUE(RIGHT(Q27,2))&lt;=59))</formula1>
    </dataValidation>
    <dataValidation type="custom" showErrorMessage="1" errorStyle="stop" errorTitle="Invalid Time" error="Enter time as HH:MM (e.g. 09:30) or leave blank" sqref="Q270">
      <formula1>OR(Q270="",AND(LEN(Q270)=5,MID(Q270,3,1)=":",ISNUMBER(VALUE(LEFT(Q270,2))),ISNUMBER(VALUE(RIGHT(Q270,2))),VALUE(LEFT(Q270,2))&lt;=23,VALUE(RIGHT(Q270,2))&lt;=59))</formula1>
    </dataValidation>
    <dataValidation type="custom" showErrorMessage="1" errorStyle="stop" errorTitle="Invalid Time" error="Enter time as HH:MM (e.g. 09:30) or leave blank" sqref="Q271">
      <formula1>OR(Q271="",AND(LEN(Q271)=5,MID(Q271,3,1)=":",ISNUMBER(VALUE(LEFT(Q271,2))),ISNUMBER(VALUE(RIGHT(Q271,2))),VALUE(LEFT(Q271,2))&lt;=23,VALUE(RIGHT(Q271,2))&lt;=59))</formula1>
    </dataValidation>
    <dataValidation type="custom" showErrorMessage="1" errorStyle="stop" errorTitle="Invalid Time" error="Enter time as HH:MM (e.g. 09:30) or leave blank" sqref="Q272">
      <formula1>OR(Q272="",AND(LEN(Q272)=5,MID(Q272,3,1)=":",ISNUMBER(VALUE(LEFT(Q272,2))),ISNUMBER(VALUE(RIGHT(Q272,2))),VALUE(LEFT(Q272,2))&lt;=23,VALUE(RIGHT(Q272,2))&lt;=59))</formula1>
    </dataValidation>
    <dataValidation type="custom" showErrorMessage="1" errorStyle="stop" errorTitle="Invalid Time" error="Enter time as HH:MM (e.g. 09:30) or leave blank" sqref="Q273">
      <formula1>OR(Q273="",AND(LEN(Q273)=5,MID(Q273,3,1)=":",ISNUMBER(VALUE(LEFT(Q273,2))),ISNUMBER(VALUE(RIGHT(Q273,2))),VALUE(LEFT(Q273,2))&lt;=23,VALUE(RIGHT(Q273,2))&lt;=59))</formula1>
    </dataValidation>
    <dataValidation type="custom" showErrorMessage="1" errorStyle="stop" errorTitle="Invalid Time" error="Enter time as HH:MM (e.g. 09:30) or leave blank" sqref="Q274">
      <formula1>OR(Q274="",AND(LEN(Q274)=5,MID(Q274,3,1)=":",ISNUMBER(VALUE(LEFT(Q274,2))),ISNUMBER(VALUE(RIGHT(Q274,2))),VALUE(LEFT(Q274,2))&lt;=23,VALUE(RIGHT(Q274,2))&lt;=59))</formula1>
    </dataValidation>
    <dataValidation type="custom" showErrorMessage="1" errorStyle="stop" errorTitle="Invalid Time" error="Enter time as HH:MM (e.g. 09:30) or leave blank" sqref="Q275">
      <formula1>OR(Q275="",AND(LEN(Q275)=5,MID(Q275,3,1)=":",ISNUMBER(VALUE(LEFT(Q275,2))),ISNUMBER(VALUE(RIGHT(Q275,2))),VALUE(LEFT(Q275,2))&lt;=23,VALUE(RIGHT(Q275,2))&lt;=59))</formula1>
    </dataValidation>
    <dataValidation type="custom" showErrorMessage="1" errorStyle="stop" errorTitle="Invalid Time" error="Enter time as HH:MM (e.g. 09:30) or leave blank" sqref="Q276">
      <formula1>OR(Q276="",AND(LEN(Q276)=5,MID(Q276,3,1)=":",ISNUMBER(VALUE(LEFT(Q276,2))),ISNUMBER(VALUE(RIGHT(Q276,2))),VALUE(LEFT(Q276,2))&lt;=23,VALUE(RIGHT(Q276,2))&lt;=59))</formula1>
    </dataValidation>
    <dataValidation type="custom" showErrorMessage="1" errorStyle="stop" errorTitle="Invalid Time" error="Enter time as HH:MM (e.g. 09:30) or leave blank" sqref="Q277">
      <formula1>OR(Q277="",AND(LEN(Q277)=5,MID(Q277,3,1)=":",ISNUMBER(VALUE(LEFT(Q277,2))),ISNUMBER(VALUE(RIGHT(Q277,2))),VALUE(LEFT(Q277,2))&lt;=23,VALUE(RIGHT(Q277,2))&lt;=59))</formula1>
    </dataValidation>
    <dataValidation type="custom" showErrorMessage="1" errorStyle="stop" errorTitle="Invalid Time" error="Enter time as HH:MM (e.g. 09:30) or leave blank" sqref="Q278">
      <formula1>OR(Q278="",AND(LEN(Q278)=5,MID(Q278,3,1)=":",ISNUMBER(VALUE(LEFT(Q278,2))),ISNUMBER(VALUE(RIGHT(Q278,2))),VALUE(LEFT(Q278,2))&lt;=23,VALUE(RIGHT(Q278,2))&lt;=59))</formula1>
    </dataValidation>
    <dataValidation type="custom" showErrorMessage="1" errorStyle="stop" errorTitle="Invalid Time" error="Enter time as HH:MM (e.g. 09:30) or leave blank" sqref="Q279">
      <formula1>OR(Q279="",AND(LEN(Q279)=5,MID(Q279,3,1)=":",ISNUMBER(VALUE(LEFT(Q279,2))),ISNUMBER(VALUE(RIGHT(Q279,2))),VALUE(LEFT(Q279,2))&lt;=23,VALUE(RIGHT(Q279,2))&lt;=59))</formula1>
    </dataValidation>
    <dataValidation type="custom" showErrorMessage="1" errorStyle="stop" errorTitle="Invalid Time" error="Enter time as HH:MM (e.g. 09:30) or leave blank" sqref="Q28">
      <formula1>OR(Q28="",AND(LEN(Q28)=5,MID(Q28,3,1)=":",ISNUMBER(VALUE(LEFT(Q28,2))),ISNUMBER(VALUE(RIGHT(Q28,2))),VALUE(LEFT(Q28,2))&lt;=23,VALUE(RIGHT(Q28,2))&lt;=59))</formula1>
    </dataValidation>
    <dataValidation type="custom" showErrorMessage="1" errorStyle="stop" errorTitle="Invalid Time" error="Enter time as HH:MM (e.g. 09:30) or leave blank" sqref="Q280">
      <formula1>OR(Q280="",AND(LEN(Q280)=5,MID(Q280,3,1)=":",ISNUMBER(VALUE(LEFT(Q280,2))),ISNUMBER(VALUE(RIGHT(Q280,2))),VALUE(LEFT(Q280,2))&lt;=23,VALUE(RIGHT(Q280,2))&lt;=59))</formula1>
    </dataValidation>
    <dataValidation type="custom" showErrorMessage="1" errorStyle="stop" errorTitle="Invalid Time" error="Enter time as HH:MM (e.g. 09:30) or leave blank" sqref="Q281">
      <formula1>OR(Q281="",AND(LEN(Q281)=5,MID(Q281,3,1)=":",ISNUMBER(VALUE(LEFT(Q281,2))),ISNUMBER(VALUE(RIGHT(Q281,2))),VALUE(LEFT(Q281,2))&lt;=23,VALUE(RIGHT(Q281,2))&lt;=59))</formula1>
    </dataValidation>
    <dataValidation type="custom" showErrorMessage="1" errorStyle="stop" errorTitle="Invalid Time" error="Enter time as HH:MM (e.g. 09:30) or leave blank" sqref="Q282">
      <formula1>OR(Q282="",AND(LEN(Q282)=5,MID(Q282,3,1)=":",ISNUMBER(VALUE(LEFT(Q282,2))),ISNUMBER(VALUE(RIGHT(Q282,2))),VALUE(LEFT(Q282,2))&lt;=23,VALUE(RIGHT(Q282,2))&lt;=59))</formula1>
    </dataValidation>
    <dataValidation type="custom" showErrorMessage="1" errorStyle="stop" errorTitle="Invalid Time" error="Enter time as HH:MM (e.g. 09:30) or leave blank" sqref="Q283">
      <formula1>OR(Q283="",AND(LEN(Q283)=5,MID(Q283,3,1)=":",ISNUMBER(VALUE(LEFT(Q283,2))),ISNUMBER(VALUE(RIGHT(Q283,2))),VALUE(LEFT(Q283,2))&lt;=23,VALUE(RIGHT(Q283,2))&lt;=59))</formula1>
    </dataValidation>
    <dataValidation type="custom" showErrorMessage="1" errorStyle="stop" errorTitle="Invalid Time" error="Enter time as HH:MM (e.g. 09:30) or leave blank" sqref="Q284">
      <formula1>OR(Q284="",AND(LEN(Q284)=5,MID(Q284,3,1)=":",ISNUMBER(VALUE(LEFT(Q284,2))),ISNUMBER(VALUE(RIGHT(Q284,2))),VALUE(LEFT(Q284,2))&lt;=23,VALUE(RIGHT(Q284,2))&lt;=59))</formula1>
    </dataValidation>
    <dataValidation type="custom" showErrorMessage="1" errorStyle="stop" errorTitle="Invalid Time" error="Enter time as HH:MM (e.g. 09:30) or leave blank" sqref="Q285">
      <formula1>OR(Q285="",AND(LEN(Q285)=5,MID(Q285,3,1)=":",ISNUMBER(VALUE(LEFT(Q285,2))),ISNUMBER(VALUE(RIGHT(Q285,2))),VALUE(LEFT(Q285,2))&lt;=23,VALUE(RIGHT(Q285,2))&lt;=59))</formula1>
    </dataValidation>
    <dataValidation type="custom" showErrorMessage="1" errorStyle="stop" errorTitle="Invalid Time" error="Enter time as HH:MM (e.g. 09:30) or leave blank" sqref="Q286">
      <formula1>OR(Q286="",AND(LEN(Q286)=5,MID(Q286,3,1)=":",ISNUMBER(VALUE(LEFT(Q286,2))),ISNUMBER(VALUE(RIGHT(Q286,2))),VALUE(LEFT(Q286,2))&lt;=23,VALUE(RIGHT(Q286,2))&lt;=59))</formula1>
    </dataValidation>
    <dataValidation type="custom" showErrorMessage="1" errorStyle="stop" errorTitle="Invalid Time" error="Enter time as HH:MM (e.g. 09:30) or leave blank" sqref="Q287">
      <formula1>OR(Q287="",AND(LEN(Q287)=5,MID(Q287,3,1)=":",ISNUMBER(VALUE(LEFT(Q287,2))),ISNUMBER(VALUE(RIGHT(Q287,2))),VALUE(LEFT(Q287,2))&lt;=23,VALUE(RIGHT(Q287,2))&lt;=59))</formula1>
    </dataValidation>
    <dataValidation type="custom" showErrorMessage="1" errorStyle="stop" errorTitle="Invalid Time" error="Enter time as HH:MM (e.g. 09:30) or leave blank" sqref="Q288">
      <formula1>OR(Q288="",AND(LEN(Q288)=5,MID(Q288,3,1)=":",ISNUMBER(VALUE(LEFT(Q288,2))),ISNUMBER(VALUE(RIGHT(Q288,2))),VALUE(LEFT(Q288,2))&lt;=23,VALUE(RIGHT(Q288,2))&lt;=59))</formula1>
    </dataValidation>
    <dataValidation type="custom" showErrorMessage="1" errorStyle="stop" errorTitle="Invalid Time" error="Enter time as HH:MM (e.g. 09:30) or leave blank" sqref="Q289">
      <formula1>OR(Q289="",AND(LEN(Q289)=5,MID(Q289,3,1)=":",ISNUMBER(VALUE(LEFT(Q289,2))),ISNUMBER(VALUE(RIGHT(Q289,2))),VALUE(LEFT(Q289,2))&lt;=23,VALUE(RIGHT(Q289,2))&lt;=59))</formula1>
    </dataValidation>
    <dataValidation type="custom" showErrorMessage="1" errorStyle="stop" errorTitle="Invalid Time" error="Enter time as HH:MM (e.g. 09:30) or leave blank" sqref="Q29">
      <formula1>OR(Q29="",AND(LEN(Q29)=5,MID(Q29,3,1)=":",ISNUMBER(VALUE(LEFT(Q29,2))),ISNUMBER(VALUE(RIGHT(Q29,2))),VALUE(LEFT(Q29,2))&lt;=23,VALUE(RIGHT(Q29,2))&lt;=59))</formula1>
    </dataValidation>
    <dataValidation type="custom" showErrorMessage="1" errorStyle="stop" errorTitle="Invalid Time" error="Enter time as HH:MM (e.g. 09:30) or leave blank" sqref="Q290">
      <formula1>OR(Q290="",AND(LEN(Q290)=5,MID(Q290,3,1)=":",ISNUMBER(VALUE(LEFT(Q290,2))),ISNUMBER(VALUE(RIGHT(Q290,2))),VALUE(LEFT(Q290,2))&lt;=23,VALUE(RIGHT(Q290,2))&lt;=59))</formula1>
    </dataValidation>
    <dataValidation type="custom" showErrorMessage="1" errorStyle="stop" errorTitle="Invalid Time" error="Enter time as HH:MM (e.g. 09:30) or leave blank" sqref="Q291">
      <formula1>OR(Q291="",AND(LEN(Q291)=5,MID(Q291,3,1)=":",ISNUMBER(VALUE(LEFT(Q291,2))),ISNUMBER(VALUE(RIGHT(Q291,2))),VALUE(LEFT(Q291,2))&lt;=23,VALUE(RIGHT(Q291,2))&lt;=59))</formula1>
    </dataValidation>
    <dataValidation type="custom" showErrorMessage="1" errorStyle="stop" errorTitle="Invalid Time" error="Enter time as HH:MM (e.g. 09:30) or leave blank" sqref="Q292">
      <formula1>OR(Q292="",AND(LEN(Q292)=5,MID(Q292,3,1)=":",ISNUMBER(VALUE(LEFT(Q292,2))),ISNUMBER(VALUE(RIGHT(Q292,2))),VALUE(LEFT(Q292,2))&lt;=23,VALUE(RIGHT(Q292,2))&lt;=59))</formula1>
    </dataValidation>
    <dataValidation type="custom" showErrorMessage="1" errorStyle="stop" errorTitle="Invalid Time" error="Enter time as HH:MM (e.g. 09:30) or leave blank" sqref="Q293">
      <formula1>OR(Q293="",AND(LEN(Q293)=5,MID(Q293,3,1)=":",ISNUMBER(VALUE(LEFT(Q293,2))),ISNUMBER(VALUE(RIGHT(Q293,2))),VALUE(LEFT(Q293,2))&lt;=23,VALUE(RIGHT(Q293,2))&lt;=59))</formula1>
    </dataValidation>
    <dataValidation type="custom" showErrorMessage="1" errorStyle="stop" errorTitle="Invalid Time" error="Enter time as HH:MM (e.g. 09:30) or leave blank" sqref="Q294">
      <formula1>OR(Q294="",AND(LEN(Q294)=5,MID(Q294,3,1)=":",ISNUMBER(VALUE(LEFT(Q294,2))),ISNUMBER(VALUE(RIGHT(Q294,2))),VALUE(LEFT(Q294,2))&lt;=23,VALUE(RIGHT(Q294,2))&lt;=59))</formula1>
    </dataValidation>
    <dataValidation type="custom" showErrorMessage="1" errorStyle="stop" errorTitle="Invalid Time" error="Enter time as HH:MM (e.g. 09:30) or leave blank" sqref="Q295">
      <formula1>OR(Q295="",AND(LEN(Q295)=5,MID(Q295,3,1)=":",ISNUMBER(VALUE(LEFT(Q295,2))),ISNUMBER(VALUE(RIGHT(Q295,2))),VALUE(LEFT(Q295,2))&lt;=23,VALUE(RIGHT(Q295,2))&lt;=59))</formula1>
    </dataValidation>
    <dataValidation type="custom" showErrorMessage="1" errorStyle="stop" errorTitle="Invalid Time" error="Enter time as HH:MM (e.g. 09:30) or leave blank" sqref="Q296">
      <formula1>OR(Q296="",AND(LEN(Q296)=5,MID(Q296,3,1)=":",ISNUMBER(VALUE(LEFT(Q296,2))),ISNUMBER(VALUE(RIGHT(Q296,2))),VALUE(LEFT(Q296,2))&lt;=23,VALUE(RIGHT(Q296,2))&lt;=59))</formula1>
    </dataValidation>
    <dataValidation type="custom" showErrorMessage="1" errorStyle="stop" errorTitle="Invalid Time" error="Enter time as HH:MM (e.g. 09:30) or leave blank" sqref="Q297">
      <formula1>OR(Q297="",AND(LEN(Q297)=5,MID(Q297,3,1)=":",ISNUMBER(VALUE(LEFT(Q297,2))),ISNUMBER(VALUE(RIGHT(Q297,2))),VALUE(LEFT(Q297,2))&lt;=23,VALUE(RIGHT(Q297,2))&lt;=59))</formula1>
    </dataValidation>
    <dataValidation type="custom" showErrorMessage="1" errorStyle="stop" errorTitle="Invalid Time" error="Enter time as HH:MM (e.g. 09:30) or leave blank" sqref="Q298">
      <formula1>OR(Q298="",AND(LEN(Q298)=5,MID(Q298,3,1)=":",ISNUMBER(VALUE(LEFT(Q298,2))),ISNUMBER(VALUE(RIGHT(Q298,2))),VALUE(LEFT(Q298,2))&lt;=23,VALUE(RIGHT(Q298,2))&lt;=59))</formula1>
    </dataValidation>
    <dataValidation type="custom" showErrorMessage="1" errorStyle="stop" errorTitle="Invalid Time" error="Enter time as HH:MM (e.g. 09:30) or leave blank" sqref="Q299">
      <formula1>OR(Q299="",AND(LEN(Q299)=5,MID(Q299,3,1)=":",ISNUMBER(VALUE(LEFT(Q299,2))),ISNUMBER(VALUE(RIGHT(Q299,2))),VALUE(LEFT(Q299,2))&lt;=23,VALUE(RIGHT(Q299,2))&lt;=59))</formula1>
    </dataValidation>
    <dataValidation type="custom" showErrorMessage="1" errorStyle="stop" errorTitle="Invalid Time" error="Enter time as HH:MM (e.g. 09:30) or leave blank" sqref="Q3">
      <formula1>OR(Q3="",AND(LEN(Q3)=5,MID(Q3,3,1)=":",ISNUMBER(VALUE(LEFT(Q3,2))),ISNUMBER(VALUE(RIGHT(Q3,2))),VALUE(LEFT(Q3,2))&lt;=23,VALUE(RIGHT(Q3,2))&lt;=59))</formula1>
    </dataValidation>
    <dataValidation type="custom" showErrorMessage="1" errorStyle="stop" errorTitle="Invalid Time" error="Enter time as HH:MM (e.g. 09:30) or leave blank" sqref="Q30">
      <formula1>OR(Q30="",AND(LEN(Q30)=5,MID(Q30,3,1)=":",ISNUMBER(VALUE(LEFT(Q30,2))),ISNUMBER(VALUE(RIGHT(Q30,2))),VALUE(LEFT(Q30,2))&lt;=23,VALUE(RIGHT(Q30,2))&lt;=59))</formula1>
    </dataValidation>
    <dataValidation type="custom" showErrorMessage="1" errorStyle="stop" errorTitle="Invalid Time" error="Enter time as HH:MM (e.g. 09:30) or leave blank" sqref="Q300">
      <formula1>OR(Q300="",AND(LEN(Q300)=5,MID(Q300,3,1)=":",ISNUMBER(VALUE(LEFT(Q300,2))),ISNUMBER(VALUE(RIGHT(Q300,2))),VALUE(LEFT(Q300,2))&lt;=23,VALUE(RIGHT(Q300,2))&lt;=59))</formula1>
    </dataValidation>
    <dataValidation type="custom" showErrorMessage="1" errorStyle="stop" errorTitle="Invalid Time" error="Enter time as HH:MM (e.g. 09:30) or leave blank" sqref="Q301">
      <formula1>OR(Q301="",AND(LEN(Q301)=5,MID(Q301,3,1)=":",ISNUMBER(VALUE(LEFT(Q301,2))),ISNUMBER(VALUE(RIGHT(Q301,2))),VALUE(LEFT(Q301,2))&lt;=23,VALUE(RIGHT(Q301,2))&lt;=59))</formula1>
    </dataValidation>
    <dataValidation type="custom" showErrorMessage="1" errorStyle="stop" errorTitle="Invalid Time" error="Enter time as HH:MM (e.g. 09:30) or leave blank" sqref="Q302">
      <formula1>OR(Q302="",AND(LEN(Q302)=5,MID(Q302,3,1)=":",ISNUMBER(VALUE(LEFT(Q302,2))),ISNUMBER(VALUE(RIGHT(Q302,2))),VALUE(LEFT(Q302,2))&lt;=23,VALUE(RIGHT(Q302,2))&lt;=59))</formula1>
    </dataValidation>
    <dataValidation type="custom" showErrorMessage="1" errorStyle="stop" errorTitle="Invalid Time" error="Enter time as HH:MM (e.g. 09:30) or leave blank" sqref="Q303">
      <formula1>OR(Q303="",AND(LEN(Q303)=5,MID(Q303,3,1)=":",ISNUMBER(VALUE(LEFT(Q303,2))),ISNUMBER(VALUE(RIGHT(Q303,2))),VALUE(LEFT(Q303,2))&lt;=23,VALUE(RIGHT(Q303,2))&lt;=59))</formula1>
    </dataValidation>
    <dataValidation type="custom" showErrorMessage="1" errorStyle="stop" errorTitle="Invalid Time" error="Enter time as HH:MM (e.g. 09:30) or leave blank" sqref="Q304">
      <formula1>OR(Q304="",AND(LEN(Q304)=5,MID(Q304,3,1)=":",ISNUMBER(VALUE(LEFT(Q304,2))),ISNUMBER(VALUE(RIGHT(Q304,2))),VALUE(LEFT(Q304,2))&lt;=23,VALUE(RIGHT(Q304,2))&lt;=59))</formula1>
    </dataValidation>
    <dataValidation type="custom" showErrorMessage="1" errorStyle="stop" errorTitle="Invalid Time" error="Enter time as HH:MM (e.g. 09:30) or leave blank" sqref="Q305">
      <formula1>OR(Q305="",AND(LEN(Q305)=5,MID(Q305,3,1)=":",ISNUMBER(VALUE(LEFT(Q305,2))),ISNUMBER(VALUE(RIGHT(Q305,2))),VALUE(LEFT(Q305,2))&lt;=23,VALUE(RIGHT(Q305,2))&lt;=59))</formula1>
    </dataValidation>
    <dataValidation type="custom" showErrorMessage="1" errorStyle="stop" errorTitle="Invalid Time" error="Enter time as HH:MM (e.g. 09:30) or leave blank" sqref="Q306">
      <formula1>OR(Q306="",AND(LEN(Q306)=5,MID(Q306,3,1)=":",ISNUMBER(VALUE(LEFT(Q306,2))),ISNUMBER(VALUE(RIGHT(Q306,2))),VALUE(LEFT(Q306,2))&lt;=23,VALUE(RIGHT(Q306,2))&lt;=59))</formula1>
    </dataValidation>
    <dataValidation type="custom" showErrorMessage="1" errorStyle="stop" errorTitle="Invalid Time" error="Enter time as HH:MM (e.g. 09:30) or leave blank" sqref="Q307">
      <formula1>OR(Q307="",AND(LEN(Q307)=5,MID(Q307,3,1)=":",ISNUMBER(VALUE(LEFT(Q307,2))),ISNUMBER(VALUE(RIGHT(Q307,2))),VALUE(LEFT(Q307,2))&lt;=23,VALUE(RIGHT(Q307,2))&lt;=59))</formula1>
    </dataValidation>
    <dataValidation type="custom" showErrorMessage="1" errorStyle="stop" errorTitle="Invalid Time" error="Enter time as HH:MM (e.g. 09:30) or leave blank" sqref="Q308">
      <formula1>OR(Q308="",AND(LEN(Q308)=5,MID(Q308,3,1)=":",ISNUMBER(VALUE(LEFT(Q308,2))),ISNUMBER(VALUE(RIGHT(Q308,2))),VALUE(LEFT(Q308,2))&lt;=23,VALUE(RIGHT(Q308,2))&lt;=59))</formula1>
    </dataValidation>
    <dataValidation type="custom" showErrorMessage="1" errorStyle="stop" errorTitle="Invalid Time" error="Enter time as HH:MM (e.g. 09:30) or leave blank" sqref="Q309">
      <formula1>OR(Q309="",AND(LEN(Q309)=5,MID(Q309,3,1)=":",ISNUMBER(VALUE(LEFT(Q309,2))),ISNUMBER(VALUE(RIGHT(Q309,2))),VALUE(LEFT(Q309,2))&lt;=23,VALUE(RIGHT(Q309,2))&lt;=59))</formula1>
    </dataValidation>
    <dataValidation type="custom" showErrorMessage="1" errorStyle="stop" errorTitle="Invalid Time" error="Enter time as HH:MM (e.g. 09:30) or leave blank" sqref="Q31">
      <formula1>OR(Q31="",AND(LEN(Q31)=5,MID(Q31,3,1)=":",ISNUMBER(VALUE(LEFT(Q31,2))),ISNUMBER(VALUE(RIGHT(Q31,2))),VALUE(LEFT(Q31,2))&lt;=23,VALUE(RIGHT(Q31,2))&lt;=59))</formula1>
    </dataValidation>
    <dataValidation type="custom" showErrorMessage="1" errorStyle="stop" errorTitle="Invalid Time" error="Enter time as HH:MM (e.g. 09:30) or leave blank" sqref="Q310">
      <formula1>OR(Q310="",AND(LEN(Q310)=5,MID(Q310,3,1)=":",ISNUMBER(VALUE(LEFT(Q310,2))),ISNUMBER(VALUE(RIGHT(Q310,2))),VALUE(LEFT(Q310,2))&lt;=23,VALUE(RIGHT(Q310,2))&lt;=59))</formula1>
    </dataValidation>
    <dataValidation type="custom" showErrorMessage="1" errorStyle="stop" errorTitle="Invalid Time" error="Enter time as HH:MM (e.g. 09:30) or leave blank" sqref="Q311">
      <formula1>OR(Q311="",AND(LEN(Q311)=5,MID(Q311,3,1)=":",ISNUMBER(VALUE(LEFT(Q311,2))),ISNUMBER(VALUE(RIGHT(Q311,2))),VALUE(LEFT(Q311,2))&lt;=23,VALUE(RIGHT(Q311,2))&lt;=59))</formula1>
    </dataValidation>
    <dataValidation type="custom" showErrorMessage="1" errorStyle="stop" errorTitle="Invalid Time" error="Enter time as HH:MM (e.g. 09:30) or leave blank" sqref="Q312">
      <formula1>OR(Q312="",AND(LEN(Q312)=5,MID(Q312,3,1)=":",ISNUMBER(VALUE(LEFT(Q312,2))),ISNUMBER(VALUE(RIGHT(Q312,2))),VALUE(LEFT(Q312,2))&lt;=23,VALUE(RIGHT(Q312,2))&lt;=59))</formula1>
    </dataValidation>
    <dataValidation type="custom" showErrorMessage="1" errorStyle="stop" errorTitle="Invalid Time" error="Enter time as HH:MM (e.g. 09:30) or leave blank" sqref="Q313">
      <formula1>OR(Q313="",AND(LEN(Q313)=5,MID(Q313,3,1)=":",ISNUMBER(VALUE(LEFT(Q313,2))),ISNUMBER(VALUE(RIGHT(Q313,2))),VALUE(LEFT(Q313,2))&lt;=23,VALUE(RIGHT(Q313,2))&lt;=59))</formula1>
    </dataValidation>
    <dataValidation type="custom" showErrorMessage="1" errorStyle="stop" errorTitle="Invalid Time" error="Enter time as HH:MM (e.g. 09:30) or leave blank" sqref="Q314">
      <formula1>OR(Q314="",AND(LEN(Q314)=5,MID(Q314,3,1)=":",ISNUMBER(VALUE(LEFT(Q314,2))),ISNUMBER(VALUE(RIGHT(Q314,2))),VALUE(LEFT(Q314,2))&lt;=23,VALUE(RIGHT(Q314,2))&lt;=59))</formula1>
    </dataValidation>
    <dataValidation type="custom" showErrorMessage="1" errorStyle="stop" errorTitle="Invalid Time" error="Enter time as HH:MM (e.g. 09:30) or leave blank" sqref="Q315">
      <formula1>OR(Q315="",AND(LEN(Q315)=5,MID(Q315,3,1)=":",ISNUMBER(VALUE(LEFT(Q315,2))),ISNUMBER(VALUE(RIGHT(Q315,2))),VALUE(LEFT(Q315,2))&lt;=23,VALUE(RIGHT(Q315,2))&lt;=59))</formula1>
    </dataValidation>
    <dataValidation type="custom" showErrorMessage="1" errorStyle="stop" errorTitle="Invalid Time" error="Enter time as HH:MM (e.g. 09:30) or leave blank" sqref="Q316">
      <formula1>OR(Q316="",AND(LEN(Q316)=5,MID(Q316,3,1)=":",ISNUMBER(VALUE(LEFT(Q316,2))),ISNUMBER(VALUE(RIGHT(Q316,2))),VALUE(LEFT(Q316,2))&lt;=23,VALUE(RIGHT(Q316,2))&lt;=59))</formula1>
    </dataValidation>
    <dataValidation type="custom" showErrorMessage="1" errorStyle="stop" errorTitle="Invalid Time" error="Enter time as HH:MM (e.g. 09:30) or leave blank" sqref="Q317">
      <formula1>OR(Q317="",AND(LEN(Q317)=5,MID(Q317,3,1)=":",ISNUMBER(VALUE(LEFT(Q317,2))),ISNUMBER(VALUE(RIGHT(Q317,2))),VALUE(LEFT(Q317,2))&lt;=23,VALUE(RIGHT(Q317,2))&lt;=59))</formula1>
    </dataValidation>
    <dataValidation type="custom" showErrorMessage="1" errorStyle="stop" errorTitle="Invalid Time" error="Enter time as HH:MM (e.g. 09:30) or leave blank" sqref="Q318">
      <formula1>OR(Q318="",AND(LEN(Q318)=5,MID(Q318,3,1)=":",ISNUMBER(VALUE(LEFT(Q318,2))),ISNUMBER(VALUE(RIGHT(Q318,2))),VALUE(LEFT(Q318,2))&lt;=23,VALUE(RIGHT(Q318,2))&lt;=59))</formula1>
    </dataValidation>
    <dataValidation type="custom" showErrorMessage="1" errorStyle="stop" errorTitle="Invalid Time" error="Enter time as HH:MM (e.g. 09:30) or leave blank" sqref="Q319">
      <formula1>OR(Q319="",AND(LEN(Q319)=5,MID(Q319,3,1)=":",ISNUMBER(VALUE(LEFT(Q319,2))),ISNUMBER(VALUE(RIGHT(Q319,2))),VALUE(LEFT(Q319,2))&lt;=23,VALUE(RIGHT(Q319,2))&lt;=59))</formula1>
    </dataValidation>
    <dataValidation type="custom" showErrorMessage="1" errorStyle="stop" errorTitle="Invalid Time" error="Enter time as HH:MM (e.g. 09:30) or leave blank" sqref="Q32">
      <formula1>OR(Q32="",AND(LEN(Q32)=5,MID(Q32,3,1)=":",ISNUMBER(VALUE(LEFT(Q32,2))),ISNUMBER(VALUE(RIGHT(Q32,2))),VALUE(LEFT(Q32,2))&lt;=23,VALUE(RIGHT(Q32,2))&lt;=59))</formula1>
    </dataValidation>
    <dataValidation type="custom" showErrorMessage="1" errorStyle="stop" errorTitle="Invalid Time" error="Enter time as HH:MM (e.g. 09:30) or leave blank" sqref="Q320">
      <formula1>OR(Q320="",AND(LEN(Q320)=5,MID(Q320,3,1)=":",ISNUMBER(VALUE(LEFT(Q320,2))),ISNUMBER(VALUE(RIGHT(Q320,2))),VALUE(LEFT(Q320,2))&lt;=23,VALUE(RIGHT(Q320,2))&lt;=59))</formula1>
    </dataValidation>
    <dataValidation type="custom" showErrorMessage="1" errorStyle="stop" errorTitle="Invalid Time" error="Enter time as HH:MM (e.g. 09:30) or leave blank" sqref="Q321">
      <formula1>OR(Q321="",AND(LEN(Q321)=5,MID(Q321,3,1)=":",ISNUMBER(VALUE(LEFT(Q321,2))),ISNUMBER(VALUE(RIGHT(Q321,2))),VALUE(LEFT(Q321,2))&lt;=23,VALUE(RIGHT(Q321,2))&lt;=59))</formula1>
    </dataValidation>
    <dataValidation type="custom" showErrorMessage="1" errorStyle="stop" errorTitle="Invalid Time" error="Enter time as HH:MM (e.g. 09:30) or leave blank" sqref="Q322">
      <formula1>OR(Q322="",AND(LEN(Q322)=5,MID(Q322,3,1)=":",ISNUMBER(VALUE(LEFT(Q322,2))),ISNUMBER(VALUE(RIGHT(Q322,2))),VALUE(LEFT(Q322,2))&lt;=23,VALUE(RIGHT(Q322,2))&lt;=59))</formula1>
    </dataValidation>
    <dataValidation type="custom" showErrorMessage="1" errorStyle="stop" errorTitle="Invalid Time" error="Enter time as HH:MM (e.g. 09:30) or leave blank" sqref="Q323">
      <formula1>OR(Q323="",AND(LEN(Q323)=5,MID(Q323,3,1)=":",ISNUMBER(VALUE(LEFT(Q323,2))),ISNUMBER(VALUE(RIGHT(Q323,2))),VALUE(LEFT(Q323,2))&lt;=23,VALUE(RIGHT(Q323,2))&lt;=59))</formula1>
    </dataValidation>
    <dataValidation type="custom" showErrorMessage="1" errorStyle="stop" errorTitle="Invalid Time" error="Enter time as HH:MM (e.g. 09:30) or leave blank" sqref="Q324">
      <formula1>OR(Q324="",AND(LEN(Q324)=5,MID(Q324,3,1)=":",ISNUMBER(VALUE(LEFT(Q324,2))),ISNUMBER(VALUE(RIGHT(Q324,2))),VALUE(LEFT(Q324,2))&lt;=23,VALUE(RIGHT(Q324,2))&lt;=59))</formula1>
    </dataValidation>
    <dataValidation type="custom" showErrorMessage="1" errorStyle="stop" errorTitle="Invalid Time" error="Enter time as HH:MM (e.g. 09:30) or leave blank" sqref="Q325">
      <formula1>OR(Q325="",AND(LEN(Q325)=5,MID(Q325,3,1)=":",ISNUMBER(VALUE(LEFT(Q325,2))),ISNUMBER(VALUE(RIGHT(Q325,2))),VALUE(LEFT(Q325,2))&lt;=23,VALUE(RIGHT(Q325,2))&lt;=59))</formula1>
    </dataValidation>
    <dataValidation type="custom" showErrorMessage="1" errorStyle="stop" errorTitle="Invalid Time" error="Enter time as HH:MM (e.g. 09:30) or leave blank" sqref="Q326">
      <formula1>OR(Q326="",AND(LEN(Q326)=5,MID(Q326,3,1)=":",ISNUMBER(VALUE(LEFT(Q326,2))),ISNUMBER(VALUE(RIGHT(Q326,2))),VALUE(LEFT(Q326,2))&lt;=23,VALUE(RIGHT(Q326,2))&lt;=59))</formula1>
    </dataValidation>
    <dataValidation type="custom" showErrorMessage="1" errorStyle="stop" errorTitle="Invalid Time" error="Enter time as HH:MM (e.g. 09:30) or leave blank" sqref="Q327">
      <formula1>OR(Q327="",AND(LEN(Q327)=5,MID(Q327,3,1)=":",ISNUMBER(VALUE(LEFT(Q327,2))),ISNUMBER(VALUE(RIGHT(Q327,2))),VALUE(LEFT(Q327,2))&lt;=23,VALUE(RIGHT(Q327,2))&lt;=59))</formula1>
    </dataValidation>
    <dataValidation type="custom" showErrorMessage="1" errorStyle="stop" errorTitle="Invalid Time" error="Enter time as HH:MM (e.g. 09:30) or leave blank" sqref="Q328">
      <formula1>OR(Q328="",AND(LEN(Q328)=5,MID(Q328,3,1)=":",ISNUMBER(VALUE(LEFT(Q328,2))),ISNUMBER(VALUE(RIGHT(Q328,2))),VALUE(LEFT(Q328,2))&lt;=23,VALUE(RIGHT(Q328,2))&lt;=59))</formula1>
    </dataValidation>
    <dataValidation type="custom" showErrorMessage="1" errorStyle="stop" errorTitle="Invalid Time" error="Enter time as HH:MM (e.g. 09:30) or leave blank" sqref="Q329">
      <formula1>OR(Q329="",AND(LEN(Q329)=5,MID(Q329,3,1)=":",ISNUMBER(VALUE(LEFT(Q329,2))),ISNUMBER(VALUE(RIGHT(Q329,2))),VALUE(LEFT(Q329,2))&lt;=23,VALUE(RIGHT(Q329,2))&lt;=59))</formula1>
    </dataValidation>
    <dataValidation type="custom" showErrorMessage="1" errorStyle="stop" errorTitle="Invalid Time" error="Enter time as HH:MM (e.g. 09:30) or leave blank" sqref="Q33">
      <formula1>OR(Q33="",AND(LEN(Q33)=5,MID(Q33,3,1)=":",ISNUMBER(VALUE(LEFT(Q33,2))),ISNUMBER(VALUE(RIGHT(Q33,2))),VALUE(LEFT(Q33,2))&lt;=23,VALUE(RIGHT(Q33,2))&lt;=59))</formula1>
    </dataValidation>
    <dataValidation type="custom" showErrorMessage="1" errorStyle="stop" errorTitle="Invalid Time" error="Enter time as HH:MM (e.g. 09:30) or leave blank" sqref="Q330">
      <formula1>OR(Q330="",AND(LEN(Q330)=5,MID(Q330,3,1)=":",ISNUMBER(VALUE(LEFT(Q330,2))),ISNUMBER(VALUE(RIGHT(Q330,2))),VALUE(LEFT(Q330,2))&lt;=23,VALUE(RIGHT(Q330,2))&lt;=59))</formula1>
    </dataValidation>
    <dataValidation type="custom" showErrorMessage="1" errorStyle="stop" errorTitle="Invalid Time" error="Enter time as HH:MM (e.g. 09:30) or leave blank" sqref="Q331">
      <formula1>OR(Q331="",AND(LEN(Q331)=5,MID(Q331,3,1)=":",ISNUMBER(VALUE(LEFT(Q331,2))),ISNUMBER(VALUE(RIGHT(Q331,2))),VALUE(LEFT(Q331,2))&lt;=23,VALUE(RIGHT(Q331,2))&lt;=59))</formula1>
    </dataValidation>
    <dataValidation type="custom" showErrorMessage="1" errorStyle="stop" errorTitle="Invalid Time" error="Enter time as HH:MM (e.g. 09:30) or leave blank" sqref="Q332">
      <formula1>OR(Q332="",AND(LEN(Q332)=5,MID(Q332,3,1)=":",ISNUMBER(VALUE(LEFT(Q332,2))),ISNUMBER(VALUE(RIGHT(Q332,2))),VALUE(LEFT(Q332,2))&lt;=23,VALUE(RIGHT(Q332,2))&lt;=59))</formula1>
    </dataValidation>
    <dataValidation type="custom" showErrorMessage="1" errorStyle="stop" errorTitle="Invalid Time" error="Enter time as HH:MM (e.g. 09:30) or leave blank" sqref="Q333">
      <formula1>OR(Q333="",AND(LEN(Q333)=5,MID(Q333,3,1)=":",ISNUMBER(VALUE(LEFT(Q333,2))),ISNUMBER(VALUE(RIGHT(Q333,2))),VALUE(LEFT(Q333,2))&lt;=23,VALUE(RIGHT(Q333,2))&lt;=59))</formula1>
    </dataValidation>
    <dataValidation type="custom" showErrorMessage="1" errorStyle="stop" errorTitle="Invalid Time" error="Enter time as HH:MM (e.g. 09:30) or leave blank" sqref="Q334">
      <formula1>OR(Q334="",AND(LEN(Q334)=5,MID(Q334,3,1)=":",ISNUMBER(VALUE(LEFT(Q334,2))),ISNUMBER(VALUE(RIGHT(Q334,2))),VALUE(LEFT(Q334,2))&lt;=23,VALUE(RIGHT(Q334,2))&lt;=59))</formula1>
    </dataValidation>
    <dataValidation type="custom" showErrorMessage="1" errorStyle="stop" errorTitle="Invalid Time" error="Enter time as HH:MM (e.g. 09:30) or leave blank" sqref="Q335">
      <formula1>OR(Q335="",AND(LEN(Q335)=5,MID(Q335,3,1)=":",ISNUMBER(VALUE(LEFT(Q335,2))),ISNUMBER(VALUE(RIGHT(Q335,2))),VALUE(LEFT(Q335,2))&lt;=23,VALUE(RIGHT(Q335,2))&lt;=59))</formula1>
    </dataValidation>
    <dataValidation type="custom" showErrorMessage="1" errorStyle="stop" errorTitle="Invalid Time" error="Enter time as HH:MM (e.g. 09:30) or leave blank" sqref="Q336">
      <formula1>OR(Q336="",AND(LEN(Q336)=5,MID(Q336,3,1)=":",ISNUMBER(VALUE(LEFT(Q336,2))),ISNUMBER(VALUE(RIGHT(Q336,2))),VALUE(LEFT(Q336,2))&lt;=23,VALUE(RIGHT(Q336,2))&lt;=59))</formula1>
    </dataValidation>
    <dataValidation type="custom" showErrorMessage="1" errorStyle="stop" errorTitle="Invalid Time" error="Enter time as HH:MM (e.g. 09:30) or leave blank" sqref="Q337">
      <formula1>OR(Q337="",AND(LEN(Q337)=5,MID(Q337,3,1)=":",ISNUMBER(VALUE(LEFT(Q337,2))),ISNUMBER(VALUE(RIGHT(Q337,2))),VALUE(LEFT(Q337,2))&lt;=23,VALUE(RIGHT(Q337,2))&lt;=59))</formula1>
    </dataValidation>
    <dataValidation type="custom" showErrorMessage="1" errorStyle="stop" errorTitle="Invalid Time" error="Enter time as HH:MM (e.g. 09:30) or leave blank" sqref="Q338">
      <formula1>OR(Q338="",AND(LEN(Q338)=5,MID(Q338,3,1)=":",ISNUMBER(VALUE(LEFT(Q338,2))),ISNUMBER(VALUE(RIGHT(Q338,2))),VALUE(LEFT(Q338,2))&lt;=23,VALUE(RIGHT(Q338,2))&lt;=59))</formula1>
    </dataValidation>
    <dataValidation type="custom" showErrorMessage="1" errorStyle="stop" errorTitle="Invalid Time" error="Enter time as HH:MM (e.g. 09:30) or leave blank" sqref="Q339">
      <formula1>OR(Q339="",AND(LEN(Q339)=5,MID(Q339,3,1)=":",ISNUMBER(VALUE(LEFT(Q339,2))),ISNUMBER(VALUE(RIGHT(Q339,2))),VALUE(LEFT(Q339,2))&lt;=23,VALUE(RIGHT(Q339,2))&lt;=59))</formula1>
    </dataValidation>
    <dataValidation type="custom" showErrorMessage="1" errorStyle="stop" errorTitle="Invalid Time" error="Enter time as HH:MM (e.g. 09:30) or leave blank" sqref="Q34">
      <formula1>OR(Q34="",AND(LEN(Q34)=5,MID(Q34,3,1)=":",ISNUMBER(VALUE(LEFT(Q34,2))),ISNUMBER(VALUE(RIGHT(Q34,2))),VALUE(LEFT(Q34,2))&lt;=23,VALUE(RIGHT(Q34,2))&lt;=59))</formula1>
    </dataValidation>
    <dataValidation type="custom" showErrorMessage="1" errorStyle="stop" errorTitle="Invalid Time" error="Enter time as HH:MM (e.g. 09:30) or leave blank" sqref="Q340">
      <formula1>OR(Q340="",AND(LEN(Q340)=5,MID(Q340,3,1)=":",ISNUMBER(VALUE(LEFT(Q340,2))),ISNUMBER(VALUE(RIGHT(Q340,2))),VALUE(LEFT(Q340,2))&lt;=23,VALUE(RIGHT(Q340,2))&lt;=59))</formula1>
    </dataValidation>
    <dataValidation type="custom" showErrorMessage="1" errorStyle="stop" errorTitle="Invalid Time" error="Enter time as HH:MM (e.g. 09:30) or leave blank" sqref="Q341">
      <formula1>OR(Q341="",AND(LEN(Q341)=5,MID(Q341,3,1)=":",ISNUMBER(VALUE(LEFT(Q341,2))),ISNUMBER(VALUE(RIGHT(Q341,2))),VALUE(LEFT(Q341,2))&lt;=23,VALUE(RIGHT(Q341,2))&lt;=59))</formula1>
    </dataValidation>
    <dataValidation type="custom" showErrorMessage="1" errorStyle="stop" errorTitle="Invalid Time" error="Enter time as HH:MM (e.g. 09:30) or leave blank" sqref="Q342">
      <formula1>OR(Q342="",AND(LEN(Q342)=5,MID(Q342,3,1)=":",ISNUMBER(VALUE(LEFT(Q342,2))),ISNUMBER(VALUE(RIGHT(Q342,2))),VALUE(LEFT(Q342,2))&lt;=23,VALUE(RIGHT(Q342,2))&lt;=59))</formula1>
    </dataValidation>
    <dataValidation type="custom" showErrorMessage="1" errorStyle="stop" errorTitle="Invalid Time" error="Enter time as HH:MM (e.g. 09:30) or leave blank" sqref="Q343">
      <formula1>OR(Q343="",AND(LEN(Q343)=5,MID(Q343,3,1)=":",ISNUMBER(VALUE(LEFT(Q343,2))),ISNUMBER(VALUE(RIGHT(Q343,2))),VALUE(LEFT(Q343,2))&lt;=23,VALUE(RIGHT(Q343,2))&lt;=59))</formula1>
    </dataValidation>
    <dataValidation type="custom" showErrorMessage="1" errorStyle="stop" errorTitle="Invalid Time" error="Enter time as HH:MM (e.g. 09:30) or leave blank" sqref="Q344">
      <formula1>OR(Q344="",AND(LEN(Q344)=5,MID(Q344,3,1)=":",ISNUMBER(VALUE(LEFT(Q344,2))),ISNUMBER(VALUE(RIGHT(Q344,2))),VALUE(LEFT(Q344,2))&lt;=23,VALUE(RIGHT(Q344,2))&lt;=59))</formula1>
    </dataValidation>
    <dataValidation type="custom" showErrorMessage="1" errorStyle="stop" errorTitle="Invalid Time" error="Enter time as HH:MM (e.g. 09:30) or leave blank" sqref="Q345">
      <formula1>OR(Q345="",AND(LEN(Q345)=5,MID(Q345,3,1)=":",ISNUMBER(VALUE(LEFT(Q345,2))),ISNUMBER(VALUE(RIGHT(Q345,2))),VALUE(LEFT(Q345,2))&lt;=23,VALUE(RIGHT(Q345,2))&lt;=59))</formula1>
    </dataValidation>
    <dataValidation type="custom" showErrorMessage="1" errorStyle="stop" errorTitle="Invalid Time" error="Enter time as HH:MM (e.g. 09:30) or leave blank" sqref="Q346">
      <formula1>OR(Q346="",AND(LEN(Q346)=5,MID(Q346,3,1)=":",ISNUMBER(VALUE(LEFT(Q346,2))),ISNUMBER(VALUE(RIGHT(Q346,2))),VALUE(LEFT(Q346,2))&lt;=23,VALUE(RIGHT(Q346,2))&lt;=59))</formula1>
    </dataValidation>
    <dataValidation type="custom" showErrorMessage="1" errorStyle="stop" errorTitle="Invalid Time" error="Enter time as HH:MM (e.g. 09:30) or leave blank" sqref="Q347">
      <formula1>OR(Q347="",AND(LEN(Q347)=5,MID(Q347,3,1)=":",ISNUMBER(VALUE(LEFT(Q347,2))),ISNUMBER(VALUE(RIGHT(Q347,2))),VALUE(LEFT(Q347,2))&lt;=23,VALUE(RIGHT(Q347,2))&lt;=59))</formula1>
    </dataValidation>
    <dataValidation type="custom" showErrorMessage="1" errorStyle="stop" errorTitle="Invalid Time" error="Enter time as HH:MM (e.g. 09:30) or leave blank" sqref="Q348">
      <formula1>OR(Q348="",AND(LEN(Q348)=5,MID(Q348,3,1)=":",ISNUMBER(VALUE(LEFT(Q348,2))),ISNUMBER(VALUE(RIGHT(Q348,2))),VALUE(LEFT(Q348,2))&lt;=23,VALUE(RIGHT(Q348,2))&lt;=59))</formula1>
    </dataValidation>
    <dataValidation type="custom" showErrorMessage="1" errorStyle="stop" errorTitle="Invalid Time" error="Enter time as HH:MM (e.g. 09:30) or leave blank" sqref="Q349">
      <formula1>OR(Q349="",AND(LEN(Q349)=5,MID(Q349,3,1)=":",ISNUMBER(VALUE(LEFT(Q349,2))),ISNUMBER(VALUE(RIGHT(Q349,2))),VALUE(LEFT(Q349,2))&lt;=23,VALUE(RIGHT(Q349,2))&lt;=59))</formula1>
    </dataValidation>
    <dataValidation type="custom" showErrorMessage="1" errorStyle="stop" errorTitle="Invalid Time" error="Enter time as HH:MM (e.g. 09:30) or leave blank" sqref="Q35">
      <formula1>OR(Q35="",AND(LEN(Q35)=5,MID(Q35,3,1)=":",ISNUMBER(VALUE(LEFT(Q35,2))),ISNUMBER(VALUE(RIGHT(Q35,2))),VALUE(LEFT(Q35,2))&lt;=23,VALUE(RIGHT(Q35,2))&lt;=59))</formula1>
    </dataValidation>
    <dataValidation type="custom" showErrorMessage="1" errorStyle="stop" errorTitle="Invalid Time" error="Enter time as HH:MM (e.g. 09:30) or leave blank" sqref="Q350">
      <formula1>OR(Q350="",AND(LEN(Q350)=5,MID(Q350,3,1)=":",ISNUMBER(VALUE(LEFT(Q350,2))),ISNUMBER(VALUE(RIGHT(Q350,2))),VALUE(LEFT(Q350,2))&lt;=23,VALUE(RIGHT(Q350,2))&lt;=59))</formula1>
    </dataValidation>
    <dataValidation type="custom" showErrorMessage="1" errorStyle="stop" errorTitle="Invalid Time" error="Enter time as HH:MM (e.g. 09:30) or leave blank" sqref="Q351">
      <formula1>OR(Q351="",AND(LEN(Q351)=5,MID(Q351,3,1)=":",ISNUMBER(VALUE(LEFT(Q351,2))),ISNUMBER(VALUE(RIGHT(Q351,2))),VALUE(LEFT(Q351,2))&lt;=23,VALUE(RIGHT(Q351,2))&lt;=59))</formula1>
    </dataValidation>
    <dataValidation type="custom" showErrorMessage="1" errorStyle="stop" errorTitle="Invalid Time" error="Enter time as HH:MM (e.g. 09:30) or leave blank" sqref="Q352">
      <formula1>OR(Q352="",AND(LEN(Q352)=5,MID(Q352,3,1)=":",ISNUMBER(VALUE(LEFT(Q352,2))),ISNUMBER(VALUE(RIGHT(Q352,2))),VALUE(LEFT(Q352,2))&lt;=23,VALUE(RIGHT(Q352,2))&lt;=59))</formula1>
    </dataValidation>
    <dataValidation type="custom" showErrorMessage="1" errorStyle="stop" errorTitle="Invalid Time" error="Enter time as HH:MM (e.g. 09:30) or leave blank" sqref="Q353">
      <formula1>OR(Q353="",AND(LEN(Q353)=5,MID(Q353,3,1)=":",ISNUMBER(VALUE(LEFT(Q353,2))),ISNUMBER(VALUE(RIGHT(Q353,2))),VALUE(LEFT(Q353,2))&lt;=23,VALUE(RIGHT(Q353,2))&lt;=59))</formula1>
    </dataValidation>
    <dataValidation type="custom" showErrorMessage="1" errorStyle="stop" errorTitle="Invalid Time" error="Enter time as HH:MM (e.g. 09:30) or leave blank" sqref="Q354">
      <formula1>OR(Q354="",AND(LEN(Q354)=5,MID(Q354,3,1)=":",ISNUMBER(VALUE(LEFT(Q354,2))),ISNUMBER(VALUE(RIGHT(Q354,2))),VALUE(LEFT(Q354,2))&lt;=23,VALUE(RIGHT(Q354,2))&lt;=59))</formula1>
    </dataValidation>
    <dataValidation type="custom" showErrorMessage="1" errorStyle="stop" errorTitle="Invalid Time" error="Enter time as HH:MM (e.g. 09:30) or leave blank" sqref="Q355">
      <formula1>OR(Q355="",AND(LEN(Q355)=5,MID(Q355,3,1)=":",ISNUMBER(VALUE(LEFT(Q355,2))),ISNUMBER(VALUE(RIGHT(Q355,2))),VALUE(LEFT(Q355,2))&lt;=23,VALUE(RIGHT(Q355,2))&lt;=59))</formula1>
    </dataValidation>
    <dataValidation type="custom" showErrorMessage="1" errorStyle="stop" errorTitle="Invalid Time" error="Enter time as HH:MM (e.g. 09:30) or leave blank" sqref="Q356">
      <formula1>OR(Q356="",AND(LEN(Q356)=5,MID(Q356,3,1)=":",ISNUMBER(VALUE(LEFT(Q356,2))),ISNUMBER(VALUE(RIGHT(Q356,2))),VALUE(LEFT(Q356,2))&lt;=23,VALUE(RIGHT(Q356,2))&lt;=59))</formula1>
    </dataValidation>
    <dataValidation type="custom" showErrorMessage="1" errorStyle="stop" errorTitle="Invalid Time" error="Enter time as HH:MM (e.g. 09:30) or leave blank" sqref="Q357">
      <formula1>OR(Q357="",AND(LEN(Q357)=5,MID(Q357,3,1)=":",ISNUMBER(VALUE(LEFT(Q357,2))),ISNUMBER(VALUE(RIGHT(Q357,2))),VALUE(LEFT(Q357,2))&lt;=23,VALUE(RIGHT(Q357,2))&lt;=59))</formula1>
    </dataValidation>
    <dataValidation type="custom" showErrorMessage="1" errorStyle="stop" errorTitle="Invalid Time" error="Enter time as HH:MM (e.g. 09:30) or leave blank" sqref="Q358">
      <formula1>OR(Q358="",AND(LEN(Q358)=5,MID(Q358,3,1)=":",ISNUMBER(VALUE(LEFT(Q358,2))),ISNUMBER(VALUE(RIGHT(Q358,2))),VALUE(LEFT(Q358,2))&lt;=23,VALUE(RIGHT(Q358,2))&lt;=59))</formula1>
    </dataValidation>
    <dataValidation type="custom" showErrorMessage="1" errorStyle="stop" errorTitle="Invalid Time" error="Enter time as HH:MM (e.g. 09:30) or leave blank" sqref="Q359">
      <formula1>OR(Q359="",AND(LEN(Q359)=5,MID(Q359,3,1)=":",ISNUMBER(VALUE(LEFT(Q359,2))),ISNUMBER(VALUE(RIGHT(Q359,2))),VALUE(LEFT(Q359,2))&lt;=23,VALUE(RIGHT(Q359,2))&lt;=59))</formula1>
    </dataValidation>
    <dataValidation type="custom" showErrorMessage="1" errorStyle="stop" errorTitle="Invalid Time" error="Enter time as HH:MM (e.g. 09:30) or leave blank" sqref="Q36">
      <formula1>OR(Q36="",AND(LEN(Q36)=5,MID(Q36,3,1)=":",ISNUMBER(VALUE(LEFT(Q36,2))),ISNUMBER(VALUE(RIGHT(Q36,2))),VALUE(LEFT(Q36,2))&lt;=23,VALUE(RIGHT(Q36,2))&lt;=59))</formula1>
    </dataValidation>
    <dataValidation type="custom" showErrorMessage="1" errorStyle="stop" errorTitle="Invalid Time" error="Enter time as HH:MM (e.g. 09:30) or leave blank" sqref="Q360">
      <formula1>OR(Q360="",AND(LEN(Q360)=5,MID(Q360,3,1)=":",ISNUMBER(VALUE(LEFT(Q360,2))),ISNUMBER(VALUE(RIGHT(Q360,2))),VALUE(LEFT(Q360,2))&lt;=23,VALUE(RIGHT(Q360,2))&lt;=59))</formula1>
    </dataValidation>
    <dataValidation type="custom" showErrorMessage="1" errorStyle="stop" errorTitle="Invalid Time" error="Enter time as HH:MM (e.g. 09:30) or leave blank" sqref="Q361">
      <formula1>OR(Q361="",AND(LEN(Q361)=5,MID(Q361,3,1)=":",ISNUMBER(VALUE(LEFT(Q361,2))),ISNUMBER(VALUE(RIGHT(Q361,2))),VALUE(LEFT(Q361,2))&lt;=23,VALUE(RIGHT(Q361,2))&lt;=59))</formula1>
    </dataValidation>
    <dataValidation type="custom" showErrorMessage="1" errorStyle="stop" errorTitle="Invalid Time" error="Enter time as HH:MM (e.g. 09:30) or leave blank" sqref="Q362">
      <formula1>OR(Q362="",AND(LEN(Q362)=5,MID(Q362,3,1)=":",ISNUMBER(VALUE(LEFT(Q362,2))),ISNUMBER(VALUE(RIGHT(Q362,2))),VALUE(LEFT(Q362,2))&lt;=23,VALUE(RIGHT(Q362,2))&lt;=59))</formula1>
    </dataValidation>
    <dataValidation type="custom" showErrorMessage="1" errorStyle="stop" errorTitle="Invalid Time" error="Enter time as HH:MM (e.g. 09:30) or leave blank" sqref="Q363">
      <formula1>OR(Q363="",AND(LEN(Q363)=5,MID(Q363,3,1)=":",ISNUMBER(VALUE(LEFT(Q363,2))),ISNUMBER(VALUE(RIGHT(Q363,2))),VALUE(LEFT(Q363,2))&lt;=23,VALUE(RIGHT(Q363,2))&lt;=59))</formula1>
    </dataValidation>
    <dataValidation type="custom" showErrorMessage="1" errorStyle="stop" errorTitle="Invalid Time" error="Enter time as HH:MM (e.g. 09:30) or leave blank" sqref="Q364">
      <formula1>OR(Q364="",AND(LEN(Q364)=5,MID(Q364,3,1)=":",ISNUMBER(VALUE(LEFT(Q364,2))),ISNUMBER(VALUE(RIGHT(Q364,2))),VALUE(LEFT(Q364,2))&lt;=23,VALUE(RIGHT(Q364,2))&lt;=59))</formula1>
    </dataValidation>
    <dataValidation type="custom" showErrorMessage="1" errorStyle="stop" errorTitle="Invalid Time" error="Enter time as HH:MM (e.g. 09:30) or leave blank" sqref="Q365">
      <formula1>OR(Q365="",AND(LEN(Q365)=5,MID(Q365,3,1)=":",ISNUMBER(VALUE(LEFT(Q365,2))),ISNUMBER(VALUE(RIGHT(Q365,2))),VALUE(LEFT(Q365,2))&lt;=23,VALUE(RIGHT(Q365,2))&lt;=59))</formula1>
    </dataValidation>
    <dataValidation type="custom" showErrorMessage="1" errorStyle="stop" errorTitle="Invalid Time" error="Enter time as HH:MM (e.g. 09:30) or leave blank" sqref="Q366">
      <formula1>OR(Q366="",AND(LEN(Q366)=5,MID(Q366,3,1)=":",ISNUMBER(VALUE(LEFT(Q366,2))),ISNUMBER(VALUE(RIGHT(Q366,2))),VALUE(LEFT(Q366,2))&lt;=23,VALUE(RIGHT(Q366,2))&lt;=59))</formula1>
    </dataValidation>
    <dataValidation type="custom" showErrorMessage="1" errorStyle="stop" errorTitle="Invalid Time" error="Enter time as HH:MM (e.g. 09:30) or leave blank" sqref="Q367">
      <formula1>OR(Q367="",AND(LEN(Q367)=5,MID(Q367,3,1)=":",ISNUMBER(VALUE(LEFT(Q367,2))),ISNUMBER(VALUE(RIGHT(Q367,2))),VALUE(LEFT(Q367,2))&lt;=23,VALUE(RIGHT(Q367,2))&lt;=59))</formula1>
    </dataValidation>
    <dataValidation type="custom" showErrorMessage="1" errorStyle="stop" errorTitle="Invalid Time" error="Enter time as HH:MM (e.g. 09:30) or leave blank" sqref="Q368">
      <formula1>OR(Q368="",AND(LEN(Q368)=5,MID(Q368,3,1)=":",ISNUMBER(VALUE(LEFT(Q368,2))),ISNUMBER(VALUE(RIGHT(Q368,2))),VALUE(LEFT(Q368,2))&lt;=23,VALUE(RIGHT(Q368,2))&lt;=59))</formula1>
    </dataValidation>
    <dataValidation type="custom" showErrorMessage="1" errorStyle="stop" errorTitle="Invalid Time" error="Enter time as HH:MM (e.g. 09:30) or leave blank" sqref="Q369">
      <formula1>OR(Q369="",AND(LEN(Q369)=5,MID(Q369,3,1)=":",ISNUMBER(VALUE(LEFT(Q369,2))),ISNUMBER(VALUE(RIGHT(Q369,2))),VALUE(LEFT(Q369,2))&lt;=23,VALUE(RIGHT(Q369,2))&lt;=59))</formula1>
    </dataValidation>
    <dataValidation type="custom" showErrorMessage="1" errorStyle="stop" errorTitle="Invalid Time" error="Enter time as HH:MM (e.g. 09:30) or leave blank" sqref="Q37">
      <formula1>OR(Q37="",AND(LEN(Q37)=5,MID(Q37,3,1)=":",ISNUMBER(VALUE(LEFT(Q37,2))),ISNUMBER(VALUE(RIGHT(Q37,2))),VALUE(LEFT(Q37,2))&lt;=23,VALUE(RIGHT(Q37,2))&lt;=59))</formula1>
    </dataValidation>
    <dataValidation type="custom" showErrorMessage="1" errorStyle="stop" errorTitle="Invalid Time" error="Enter time as HH:MM (e.g. 09:30) or leave blank" sqref="Q370">
      <formula1>OR(Q370="",AND(LEN(Q370)=5,MID(Q370,3,1)=":",ISNUMBER(VALUE(LEFT(Q370,2))),ISNUMBER(VALUE(RIGHT(Q370,2))),VALUE(LEFT(Q370,2))&lt;=23,VALUE(RIGHT(Q370,2))&lt;=59))</formula1>
    </dataValidation>
    <dataValidation type="custom" showErrorMessage="1" errorStyle="stop" errorTitle="Invalid Time" error="Enter time as HH:MM (e.g. 09:30) or leave blank" sqref="Q371">
      <formula1>OR(Q371="",AND(LEN(Q371)=5,MID(Q371,3,1)=":",ISNUMBER(VALUE(LEFT(Q371,2))),ISNUMBER(VALUE(RIGHT(Q371,2))),VALUE(LEFT(Q371,2))&lt;=23,VALUE(RIGHT(Q371,2))&lt;=59))</formula1>
    </dataValidation>
    <dataValidation type="custom" showErrorMessage="1" errorStyle="stop" errorTitle="Invalid Time" error="Enter time as HH:MM (e.g. 09:30) or leave blank" sqref="Q372">
      <formula1>OR(Q372="",AND(LEN(Q372)=5,MID(Q372,3,1)=":",ISNUMBER(VALUE(LEFT(Q372,2))),ISNUMBER(VALUE(RIGHT(Q372,2))),VALUE(LEFT(Q372,2))&lt;=23,VALUE(RIGHT(Q372,2))&lt;=59))</formula1>
    </dataValidation>
    <dataValidation type="custom" showErrorMessage="1" errorStyle="stop" errorTitle="Invalid Time" error="Enter time as HH:MM (e.g. 09:30) or leave blank" sqref="Q373">
      <formula1>OR(Q373="",AND(LEN(Q373)=5,MID(Q373,3,1)=":",ISNUMBER(VALUE(LEFT(Q373,2))),ISNUMBER(VALUE(RIGHT(Q373,2))),VALUE(LEFT(Q373,2))&lt;=23,VALUE(RIGHT(Q373,2))&lt;=59))</formula1>
    </dataValidation>
    <dataValidation type="custom" showErrorMessage="1" errorStyle="stop" errorTitle="Invalid Time" error="Enter time as HH:MM (e.g. 09:30) or leave blank" sqref="Q374">
      <formula1>OR(Q374="",AND(LEN(Q374)=5,MID(Q374,3,1)=":",ISNUMBER(VALUE(LEFT(Q374,2))),ISNUMBER(VALUE(RIGHT(Q374,2))),VALUE(LEFT(Q374,2))&lt;=23,VALUE(RIGHT(Q374,2))&lt;=59))</formula1>
    </dataValidation>
    <dataValidation type="custom" showErrorMessage="1" errorStyle="stop" errorTitle="Invalid Time" error="Enter time as HH:MM (e.g. 09:30) or leave blank" sqref="Q375">
      <formula1>OR(Q375="",AND(LEN(Q375)=5,MID(Q375,3,1)=":",ISNUMBER(VALUE(LEFT(Q375,2))),ISNUMBER(VALUE(RIGHT(Q375,2))),VALUE(LEFT(Q375,2))&lt;=23,VALUE(RIGHT(Q375,2))&lt;=59))</formula1>
    </dataValidation>
    <dataValidation type="custom" showErrorMessage="1" errorStyle="stop" errorTitle="Invalid Time" error="Enter time as HH:MM (e.g. 09:30) or leave blank" sqref="Q376">
      <formula1>OR(Q376="",AND(LEN(Q376)=5,MID(Q376,3,1)=":",ISNUMBER(VALUE(LEFT(Q376,2))),ISNUMBER(VALUE(RIGHT(Q376,2))),VALUE(LEFT(Q376,2))&lt;=23,VALUE(RIGHT(Q376,2))&lt;=59))</formula1>
    </dataValidation>
    <dataValidation type="custom" showErrorMessage="1" errorStyle="stop" errorTitle="Invalid Time" error="Enter time as HH:MM (e.g. 09:30) or leave blank" sqref="Q377">
      <formula1>OR(Q377="",AND(LEN(Q377)=5,MID(Q377,3,1)=":",ISNUMBER(VALUE(LEFT(Q377,2))),ISNUMBER(VALUE(RIGHT(Q377,2))),VALUE(LEFT(Q377,2))&lt;=23,VALUE(RIGHT(Q377,2))&lt;=59))</formula1>
    </dataValidation>
    <dataValidation type="custom" showErrorMessage="1" errorStyle="stop" errorTitle="Invalid Time" error="Enter time as HH:MM (e.g. 09:30) or leave blank" sqref="Q378">
      <formula1>OR(Q378="",AND(LEN(Q378)=5,MID(Q378,3,1)=":",ISNUMBER(VALUE(LEFT(Q378,2))),ISNUMBER(VALUE(RIGHT(Q378,2))),VALUE(LEFT(Q378,2))&lt;=23,VALUE(RIGHT(Q378,2))&lt;=59))</formula1>
    </dataValidation>
    <dataValidation type="custom" showErrorMessage="1" errorStyle="stop" errorTitle="Invalid Time" error="Enter time as HH:MM (e.g. 09:30) or leave blank" sqref="Q379">
      <formula1>OR(Q379="",AND(LEN(Q379)=5,MID(Q379,3,1)=":",ISNUMBER(VALUE(LEFT(Q379,2))),ISNUMBER(VALUE(RIGHT(Q379,2))),VALUE(LEFT(Q379,2))&lt;=23,VALUE(RIGHT(Q379,2))&lt;=59))</formula1>
    </dataValidation>
    <dataValidation type="custom" showErrorMessage="1" errorStyle="stop" errorTitle="Invalid Time" error="Enter time as HH:MM (e.g. 09:30) or leave blank" sqref="Q38">
      <formula1>OR(Q38="",AND(LEN(Q38)=5,MID(Q38,3,1)=":",ISNUMBER(VALUE(LEFT(Q38,2))),ISNUMBER(VALUE(RIGHT(Q38,2))),VALUE(LEFT(Q38,2))&lt;=23,VALUE(RIGHT(Q38,2))&lt;=59))</formula1>
    </dataValidation>
    <dataValidation type="custom" showErrorMessage="1" errorStyle="stop" errorTitle="Invalid Time" error="Enter time as HH:MM (e.g. 09:30) or leave blank" sqref="Q380">
      <formula1>OR(Q380="",AND(LEN(Q380)=5,MID(Q380,3,1)=":",ISNUMBER(VALUE(LEFT(Q380,2))),ISNUMBER(VALUE(RIGHT(Q380,2))),VALUE(LEFT(Q380,2))&lt;=23,VALUE(RIGHT(Q380,2))&lt;=59))</formula1>
    </dataValidation>
    <dataValidation type="custom" showErrorMessage="1" errorStyle="stop" errorTitle="Invalid Time" error="Enter time as HH:MM (e.g. 09:30) or leave blank" sqref="Q381">
      <formula1>OR(Q381="",AND(LEN(Q381)=5,MID(Q381,3,1)=":",ISNUMBER(VALUE(LEFT(Q381,2))),ISNUMBER(VALUE(RIGHT(Q381,2))),VALUE(LEFT(Q381,2))&lt;=23,VALUE(RIGHT(Q381,2))&lt;=59))</formula1>
    </dataValidation>
    <dataValidation type="custom" showErrorMessage="1" errorStyle="stop" errorTitle="Invalid Time" error="Enter time as HH:MM (e.g. 09:30) or leave blank" sqref="Q382">
      <formula1>OR(Q382="",AND(LEN(Q382)=5,MID(Q382,3,1)=":",ISNUMBER(VALUE(LEFT(Q382,2))),ISNUMBER(VALUE(RIGHT(Q382,2))),VALUE(LEFT(Q382,2))&lt;=23,VALUE(RIGHT(Q382,2))&lt;=59))</formula1>
    </dataValidation>
    <dataValidation type="custom" showErrorMessage="1" errorStyle="stop" errorTitle="Invalid Time" error="Enter time as HH:MM (e.g. 09:30) or leave blank" sqref="Q383">
      <formula1>OR(Q383="",AND(LEN(Q383)=5,MID(Q383,3,1)=":",ISNUMBER(VALUE(LEFT(Q383,2))),ISNUMBER(VALUE(RIGHT(Q383,2))),VALUE(LEFT(Q383,2))&lt;=23,VALUE(RIGHT(Q383,2))&lt;=59))</formula1>
    </dataValidation>
    <dataValidation type="custom" showErrorMessage="1" errorStyle="stop" errorTitle="Invalid Time" error="Enter time as HH:MM (e.g. 09:30) or leave blank" sqref="Q384">
      <formula1>OR(Q384="",AND(LEN(Q384)=5,MID(Q384,3,1)=":",ISNUMBER(VALUE(LEFT(Q384,2))),ISNUMBER(VALUE(RIGHT(Q384,2))),VALUE(LEFT(Q384,2))&lt;=23,VALUE(RIGHT(Q384,2))&lt;=59))</formula1>
    </dataValidation>
    <dataValidation type="custom" showErrorMessage="1" errorStyle="stop" errorTitle="Invalid Time" error="Enter time as HH:MM (e.g. 09:30) or leave blank" sqref="Q385">
      <formula1>OR(Q385="",AND(LEN(Q385)=5,MID(Q385,3,1)=":",ISNUMBER(VALUE(LEFT(Q385,2))),ISNUMBER(VALUE(RIGHT(Q385,2))),VALUE(LEFT(Q385,2))&lt;=23,VALUE(RIGHT(Q385,2))&lt;=59))</formula1>
    </dataValidation>
    <dataValidation type="custom" showErrorMessage="1" errorStyle="stop" errorTitle="Invalid Time" error="Enter time as HH:MM (e.g. 09:30) or leave blank" sqref="Q386">
      <formula1>OR(Q386="",AND(LEN(Q386)=5,MID(Q386,3,1)=":",ISNUMBER(VALUE(LEFT(Q386,2))),ISNUMBER(VALUE(RIGHT(Q386,2))),VALUE(LEFT(Q386,2))&lt;=23,VALUE(RIGHT(Q386,2))&lt;=59))</formula1>
    </dataValidation>
    <dataValidation type="custom" showErrorMessage="1" errorStyle="stop" errorTitle="Invalid Time" error="Enter time as HH:MM (e.g. 09:30) or leave blank" sqref="Q387">
      <formula1>OR(Q387="",AND(LEN(Q387)=5,MID(Q387,3,1)=":",ISNUMBER(VALUE(LEFT(Q387,2))),ISNUMBER(VALUE(RIGHT(Q387,2))),VALUE(LEFT(Q387,2))&lt;=23,VALUE(RIGHT(Q387,2))&lt;=59))</formula1>
    </dataValidation>
    <dataValidation type="custom" showErrorMessage="1" errorStyle="stop" errorTitle="Invalid Time" error="Enter time as HH:MM (e.g. 09:30) or leave blank" sqref="Q388">
      <formula1>OR(Q388="",AND(LEN(Q388)=5,MID(Q388,3,1)=":",ISNUMBER(VALUE(LEFT(Q388,2))),ISNUMBER(VALUE(RIGHT(Q388,2))),VALUE(LEFT(Q388,2))&lt;=23,VALUE(RIGHT(Q388,2))&lt;=59))</formula1>
    </dataValidation>
    <dataValidation type="custom" showErrorMessage="1" errorStyle="stop" errorTitle="Invalid Time" error="Enter time as HH:MM (e.g. 09:30) or leave blank" sqref="Q389">
      <formula1>OR(Q389="",AND(LEN(Q389)=5,MID(Q389,3,1)=":",ISNUMBER(VALUE(LEFT(Q389,2))),ISNUMBER(VALUE(RIGHT(Q389,2))),VALUE(LEFT(Q389,2))&lt;=23,VALUE(RIGHT(Q389,2))&lt;=59))</formula1>
    </dataValidation>
    <dataValidation type="custom" showErrorMessage="1" errorStyle="stop" errorTitle="Invalid Time" error="Enter time as HH:MM (e.g. 09:30) or leave blank" sqref="Q39">
      <formula1>OR(Q39="",AND(LEN(Q39)=5,MID(Q39,3,1)=":",ISNUMBER(VALUE(LEFT(Q39,2))),ISNUMBER(VALUE(RIGHT(Q39,2))),VALUE(LEFT(Q39,2))&lt;=23,VALUE(RIGHT(Q39,2))&lt;=59))</formula1>
    </dataValidation>
    <dataValidation type="custom" showErrorMessage="1" errorStyle="stop" errorTitle="Invalid Time" error="Enter time as HH:MM (e.g. 09:30) or leave blank" sqref="Q390">
      <formula1>OR(Q390="",AND(LEN(Q390)=5,MID(Q390,3,1)=":",ISNUMBER(VALUE(LEFT(Q390,2))),ISNUMBER(VALUE(RIGHT(Q390,2))),VALUE(LEFT(Q390,2))&lt;=23,VALUE(RIGHT(Q390,2))&lt;=59))</formula1>
    </dataValidation>
    <dataValidation type="custom" showErrorMessage="1" errorStyle="stop" errorTitle="Invalid Time" error="Enter time as HH:MM (e.g. 09:30) or leave blank" sqref="Q391">
      <formula1>OR(Q391="",AND(LEN(Q391)=5,MID(Q391,3,1)=":",ISNUMBER(VALUE(LEFT(Q391,2))),ISNUMBER(VALUE(RIGHT(Q391,2))),VALUE(LEFT(Q391,2))&lt;=23,VALUE(RIGHT(Q391,2))&lt;=59))</formula1>
    </dataValidation>
    <dataValidation type="custom" showErrorMessage="1" errorStyle="stop" errorTitle="Invalid Time" error="Enter time as HH:MM (e.g. 09:30) or leave blank" sqref="Q392">
      <formula1>OR(Q392="",AND(LEN(Q392)=5,MID(Q392,3,1)=":",ISNUMBER(VALUE(LEFT(Q392,2))),ISNUMBER(VALUE(RIGHT(Q392,2))),VALUE(LEFT(Q392,2))&lt;=23,VALUE(RIGHT(Q392,2))&lt;=59))</formula1>
    </dataValidation>
    <dataValidation type="custom" showErrorMessage="1" errorStyle="stop" errorTitle="Invalid Time" error="Enter time as HH:MM (e.g. 09:30) or leave blank" sqref="Q393">
      <formula1>OR(Q393="",AND(LEN(Q393)=5,MID(Q393,3,1)=":",ISNUMBER(VALUE(LEFT(Q393,2))),ISNUMBER(VALUE(RIGHT(Q393,2))),VALUE(LEFT(Q393,2))&lt;=23,VALUE(RIGHT(Q393,2))&lt;=59))</formula1>
    </dataValidation>
    <dataValidation type="custom" showErrorMessage="1" errorStyle="stop" errorTitle="Invalid Time" error="Enter time as HH:MM (e.g. 09:30) or leave blank" sqref="Q394">
      <formula1>OR(Q394="",AND(LEN(Q394)=5,MID(Q394,3,1)=":",ISNUMBER(VALUE(LEFT(Q394,2))),ISNUMBER(VALUE(RIGHT(Q394,2))),VALUE(LEFT(Q394,2))&lt;=23,VALUE(RIGHT(Q394,2))&lt;=59))</formula1>
    </dataValidation>
    <dataValidation type="custom" showErrorMessage="1" errorStyle="stop" errorTitle="Invalid Time" error="Enter time as HH:MM (e.g. 09:30) or leave blank" sqref="Q395">
      <formula1>OR(Q395="",AND(LEN(Q395)=5,MID(Q395,3,1)=":",ISNUMBER(VALUE(LEFT(Q395,2))),ISNUMBER(VALUE(RIGHT(Q395,2))),VALUE(LEFT(Q395,2))&lt;=23,VALUE(RIGHT(Q395,2))&lt;=59))</formula1>
    </dataValidation>
    <dataValidation type="custom" showErrorMessage="1" errorStyle="stop" errorTitle="Invalid Time" error="Enter time as HH:MM (e.g. 09:30) or leave blank" sqref="Q396">
      <formula1>OR(Q396="",AND(LEN(Q396)=5,MID(Q396,3,1)=":",ISNUMBER(VALUE(LEFT(Q396,2))),ISNUMBER(VALUE(RIGHT(Q396,2))),VALUE(LEFT(Q396,2))&lt;=23,VALUE(RIGHT(Q396,2))&lt;=59))</formula1>
    </dataValidation>
    <dataValidation type="custom" showErrorMessage="1" errorStyle="stop" errorTitle="Invalid Time" error="Enter time as HH:MM (e.g. 09:30) or leave blank" sqref="Q397">
      <formula1>OR(Q397="",AND(LEN(Q397)=5,MID(Q397,3,1)=":",ISNUMBER(VALUE(LEFT(Q397,2))),ISNUMBER(VALUE(RIGHT(Q397,2))),VALUE(LEFT(Q397,2))&lt;=23,VALUE(RIGHT(Q397,2))&lt;=59))</formula1>
    </dataValidation>
    <dataValidation type="custom" showErrorMessage="1" errorStyle="stop" errorTitle="Invalid Time" error="Enter time as HH:MM (e.g. 09:30) or leave blank" sqref="Q398">
      <formula1>OR(Q398="",AND(LEN(Q398)=5,MID(Q398,3,1)=":",ISNUMBER(VALUE(LEFT(Q398,2))),ISNUMBER(VALUE(RIGHT(Q398,2))),VALUE(LEFT(Q398,2))&lt;=23,VALUE(RIGHT(Q398,2))&lt;=59))</formula1>
    </dataValidation>
    <dataValidation type="custom" showErrorMessage="1" errorStyle="stop" errorTitle="Invalid Time" error="Enter time as HH:MM (e.g. 09:30) or leave blank" sqref="Q399">
      <formula1>OR(Q399="",AND(LEN(Q399)=5,MID(Q399,3,1)=":",ISNUMBER(VALUE(LEFT(Q399,2))),ISNUMBER(VALUE(RIGHT(Q399,2))),VALUE(LEFT(Q399,2))&lt;=23,VALUE(RIGHT(Q399,2))&lt;=59))</formula1>
    </dataValidation>
    <dataValidation type="custom" showErrorMessage="1" errorStyle="stop" errorTitle="Invalid Time" error="Enter time as HH:MM (e.g. 09:30) or leave blank" sqref="Q4">
      <formula1>OR(Q4="",AND(LEN(Q4)=5,MID(Q4,3,1)=":",ISNUMBER(VALUE(LEFT(Q4,2))),ISNUMBER(VALUE(RIGHT(Q4,2))),VALUE(LEFT(Q4,2))&lt;=23,VALUE(RIGHT(Q4,2))&lt;=59))</formula1>
    </dataValidation>
    <dataValidation type="custom" showErrorMessage="1" errorStyle="stop" errorTitle="Invalid Time" error="Enter time as HH:MM (e.g. 09:30) or leave blank" sqref="Q40">
      <formula1>OR(Q40="",AND(LEN(Q40)=5,MID(Q40,3,1)=":",ISNUMBER(VALUE(LEFT(Q40,2))),ISNUMBER(VALUE(RIGHT(Q40,2))),VALUE(LEFT(Q40,2))&lt;=23,VALUE(RIGHT(Q40,2))&lt;=59))</formula1>
    </dataValidation>
    <dataValidation type="custom" showErrorMessage="1" errorStyle="stop" errorTitle="Invalid Time" error="Enter time as HH:MM (e.g. 09:30) or leave blank" sqref="Q400">
      <formula1>OR(Q400="",AND(LEN(Q400)=5,MID(Q400,3,1)=":",ISNUMBER(VALUE(LEFT(Q400,2))),ISNUMBER(VALUE(RIGHT(Q400,2))),VALUE(LEFT(Q400,2))&lt;=23,VALUE(RIGHT(Q400,2))&lt;=59))</formula1>
    </dataValidation>
    <dataValidation type="custom" showErrorMessage="1" errorStyle="stop" errorTitle="Invalid Time" error="Enter time as HH:MM (e.g. 09:30) or leave blank" sqref="Q401">
      <formula1>OR(Q401="",AND(LEN(Q401)=5,MID(Q401,3,1)=":",ISNUMBER(VALUE(LEFT(Q401,2))),ISNUMBER(VALUE(RIGHT(Q401,2))),VALUE(LEFT(Q401,2))&lt;=23,VALUE(RIGHT(Q401,2))&lt;=59))</formula1>
    </dataValidation>
    <dataValidation type="custom" showErrorMessage="1" errorStyle="stop" errorTitle="Invalid Time" error="Enter time as HH:MM (e.g. 09:30) or leave blank" sqref="Q402">
      <formula1>OR(Q402="",AND(LEN(Q402)=5,MID(Q402,3,1)=":",ISNUMBER(VALUE(LEFT(Q402,2))),ISNUMBER(VALUE(RIGHT(Q402,2))),VALUE(LEFT(Q402,2))&lt;=23,VALUE(RIGHT(Q402,2))&lt;=59))</formula1>
    </dataValidation>
    <dataValidation type="custom" showErrorMessage="1" errorStyle="stop" errorTitle="Invalid Time" error="Enter time as HH:MM (e.g. 09:30) or leave blank" sqref="Q403">
      <formula1>OR(Q403="",AND(LEN(Q403)=5,MID(Q403,3,1)=":",ISNUMBER(VALUE(LEFT(Q403,2))),ISNUMBER(VALUE(RIGHT(Q403,2))),VALUE(LEFT(Q403,2))&lt;=23,VALUE(RIGHT(Q403,2))&lt;=59))</formula1>
    </dataValidation>
    <dataValidation type="custom" showErrorMessage="1" errorStyle="stop" errorTitle="Invalid Time" error="Enter time as HH:MM (e.g. 09:30) or leave blank" sqref="Q404">
      <formula1>OR(Q404="",AND(LEN(Q404)=5,MID(Q404,3,1)=":",ISNUMBER(VALUE(LEFT(Q404,2))),ISNUMBER(VALUE(RIGHT(Q404,2))),VALUE(LEFT(Q404,2))&lt;=23,VALUE(RIGHT(Q404,2))&lt;=59))</formula1>
    </dataValidation>
    <dataValidation type="custom" showErrorMessage="1" errorStyle="stop" errorTitle="Invalid Time" error="Enter time as HH:MM (e.g. 09:30) or leave blank" sqref="Q405">
      <formula1>OR(Q405="",AND(LEN(Q405)=5,MID(Q405,3,1)=":",ISNUMBER(VALUE(LEFT(Q405,2))),ISNUMBER(VALUE(RIGHT(Q405,2))),VALUE(LEFT(Q405,2))&lt;=23,VALUE(RIGHT(Q405,2))&lt;=59))</formula1>
    </dataValidation>
    <dataValidation type="custom" showErrorMessage="1" errorStyle="stop" errorTitle="Invalid Time" error="Enter time as HH:MM (e.g. 09:30) or leave blank" sqref="Q406">
      <formula1>OR(Q406="",AND(LEN(Q406)=5,MID(Q406,3,1)=":",ISNUMBER(VALUE(LEFT(Q406,2))),ISNUMBER(VALUE(RIGHT(Q406,2))),VALUE(LEFT(Q406,2))&lt;=23,VALUE(RIGHT(Q406,2))&lt;=59))</formula1>
    </dataValidation>
    <dataValidation type="custom" showErrorMessage="1" errorStyle="stop" errorTitle="Invalid Time" error="Enter time as HH:MM (e.g. 09:30) or leave blank" sqref="Q407">
      <formula1>OR(Q407="",AND(LEN(Q407)=5,MID(Q407,3,1)=":",ISNUMBER(VALUE(LEFT(Q407,2))),ISNUMBER(VALUE(RIGHT(Q407,2))),VALUE(LEFT(Q407,2))&lt;=23,VALUE(RIGHT(Q407,2))&lt;=59))</formula1>
    </dataValidation>
    <dataValidation type="custom" showErrorMessage="1" errorStyle="stop" errorTitle="Invalid Time" error="Enter time as HH:MM (e.g. 09:30) or leave blank" sqref="Q408">
      <formula1>OR(Q408="",AND(LEN(Q408)=5,MID(Q408,3,1)=":",ISNUMBER(VALUE(LEFT(Q408,2))),ISNUMBER(VALUE(RIGHT(Q408,2))),VALUE(LEFT(Q408,2))&lt;=23,VALUE(RIGHT(Q408,2))&lt;=59))</formula1>
    </dataValidation>
    <dataValidation type="custom" showErrorMessage="1" errorStyle="stop" errorTitle="Invalid Time" error="Enter time as HH:MM (e.g. 09:30) or leave blank" sqref="Q409">
      <formula1>OR(Q409="",AND(LEN(Q409)=5,MID(Q409,3,1)=":",ISNUMBER(VALUE(LEFT(Q409,2))),ISNUMBER(VALUE(RIGHT(Q409,2))),VALUE(LEFT(Q409,2))&lt;=23,VALUE(RIGHT(Q409,2))&lt;=59))</formula1>
    </dataValidation>
    <dataValidation type="custom" showErrorMessage="1" errorStyle="stop" errorTitle="Invalid Time" error="Enter time as HH:MM (e.g. 09:30) or leave blank" sqref="Q41">
      <formula1>OR(Q41="",AND(LEN(Q41)=5,MID(Q41,3,1)=":",ISNUMBER(VALUE(LEFT(Q41,2))),ISNUMBER(VALUE(RIGHT(Q41,2))),VALUE(LEFT(Q41,2))&lt;=23,VALUE(RIGHT(Q41,2))&lt;=59))</formula1>
    </dataValidation>
    <dataValidation type="custom" showErrorMessage="1" errorStyle="stop" errorTitle="Invalid Time" error="Enter time as HH:MM (e.g. 09:30) or leave blank" sqref="Q410">
      <formula1>OR(Q410="",AND(LEN(Q410)=5,MID(Q410,3,1)=":",ISNUMBER(VALUE(LEFT(Q410,2))),ISNUMBER(VALUE(RIGHT(Q410,2))),VALUE(LEFT(Q410,2))&lt;=23,VALUE(RIGHT(Q410,2))&lt;=59))</formula1>
    </dataValidation>
    <dataValidation type="custom" showErrorMessage="1" errorStyle="stop" errorTitle="Invalid Time" error="Enter time as HH:MM (e.g. 09:30) or leave blank" sqref="Q411">
      <formula1>OR(Q411="",AND(LEN(Q411)=5,MID(Q411,3,1)=":",ISNUMBER(VALUE(LEFT(Q411,2))),ISNUMBER(VALUE(RIGHT(Q411,2))),VALUE(LEFT(Q411,2))&lt;=23,VALUE(RIGHT(Q411,2))&lt;=59))</formula1>
    </dataValidation>
    <dataValidation type="custom" showErrorMessage="1" errorStyle="stop" errorTitle="Invalid Time" error="Enter time as HH:MM (e.g. 09:30) or leave blank" sqref="Q412">
      <formula1>OR(Q412="",AND(LEN(Q412)=5,MID(Q412,3,1)=":",ISNUMBER(VALUE(LEFT(Q412,2))),ISNUMBER(VALUE(RIGHT(Q412,2))),VALUE(LEFT(Q412,2))&lt;=23,VALUE(RIGHT(Q412,2))&lt;=59))</formula1>
    </dataValidation>
    <dataValidation type="custom" showErrorMessage="1" errorStyle="stop" errorTitle="Invalid Time" error="Enter time as HH:MM (e.g. 09:30) or leave blank" sqref="Q413">
      <formula1>OR(Q413="",AND(LEN(Q413)=5,MID(Q413,3,1)=":",ISNUMBER(VALUE(LEFT(Q413,2))),ISNUMBER(VALUE(RIGHT(Q413,2))),VALUE(LEFT(Q413,2))&lt;=23,VALUE(RIGHT(Q413,2))&lt;=59))</formula1>
    </dataValidation>
    <dataValidation type="custom" showErrorMessage="1" errorStyle="stop" errorTitle="Invalid Time" error="Enter time as HH:MM (e.g. 09:30) or leave blank" sqref="Q414">
      <formula1>OR(Q414="",AND(LEN(Q414)=5,MID(Q414,3,1)=":",ISNUMBER(VALUE(LEFT(Q414,2))),ISNUMBER(VALUE(RIGHT(Q414,2))),VALUE(LEFT(Q414,2))&lt;=23,VALUE(RIGHT(Q414,2))&lt;=59))</formula1>
    </dataValidation>
    <dataValidation type="custom" showErrorMessage="1" errorStyle="stop" errorTitle="Invalid Time" error="Enter time as HH:MM (e.g. 09:30) or leave blank" sqref="Q415">
      <formula1>OR(Q415="",AND(LEN(Q415)=5,MID(Q415,3,1)=":",ISNUMBER(VALUE(LEFT(Q415,2))),ISNUMBER(VALUE(RIGHT(Q415,2))),VALUE(LEFT(Q415,2))&lt;=23,VALUE(RIGHT(Q415,2))&lt;=59))</formula1>
    </dataValidation>
    <dataValidation type="custom" showErrorMessage="1" errorStyle="stop" errorTitle="Invalid Time" error="Enter time as HH:MM (e.g. 09:30) or leave blank" sqref="Q416">
      <formula1>OR(Q416="",AND(LEN(Q416)=5,MID(Q416,3,1)=":",ISNUMBER(VALUE(LEFT(Q416,2))),ISNUMBER(VALUE(RIGHT(Q416,2))),VALUE(LEFT(Q416,2))&lt;=23,VALUE(RIGHT(Q416,2))&lt;=59))</formula1>
    </dataValidation>
    <dataValidation type="custom" showErrorMessage="1" errorStyle="stop" errorTitle="Invalid Time" error="Enter time as HH:MM (e.g. 09:30) or leave blank" sqref="Q417">
      <formula1>OR(Q417="",AND(LEN(Q417)=5,MID(Q417,3,1)=":",ISNUMBER(VALUE(LEFT(Q417,2))),ISNUMBER(VALUE(RIGHT(Q417,2))),VALUE(LEFT(Q417,2))&lt;=23,VALUE(RIGHT(Q417,2))&lt;=59))</formula1>
    </dataValidation>
    <dataValidation type="custom" showErrorMessage="1" errorStyle="stop" errorTitle="Invalid Time" error="Enter time as HH:MM (e.g. 09:30) or leave blank" sqref="Q418">
      <formula1>OR(Q418="",AND(LEN(Q418)=5,MID(Q418,3,1)=":",ISNUMBER(VALUE(LEFT(Q418,2))),ISNUMBER(VALUE(RIGHT(Q418,2))),VALUE(LEFT(Q418,2))&lt;=23,VALUE(RIGHT(Q418,2))&lt;=59))</formula1>
    </dataValidation>
    <dataValidation type="custom" showErrorMessage="1" errorStyle="stop" errorTitle="Invalid Time" error="Enter time as HH:MM (e.g. 09:30) or leave blank" sqref="Q419">
      <formula1>OR(Q419="",AND(LEN(Q419)=5,MID(Q419,3,1)=":",ISNUMBER(VALUE(LEFT(Q419,2))),ISNUMBER(VALUE(RIGHT(Q419,2))),VALUE(LEFT(Q419,2))&lt;=23,VALUE(RIGHT(Q419,2))&lt;=59))</formula1>
    </dataValidation>
    <dataValidation type="custom" showErrorMessage="1" errorStyle="stop" errorTitle="Invalid Time" error="Enter time as HH:MM (e.g. 09:30) or leave blank" sqref="Q42">
      <formula1>OR(Q42="",AND(LEN(Q42)=5,MID(Q42,3,1)=":",ISNUMBER(VALUE(LEFT(Q42,2))),ISNUMBER(VALUE(RIGHT(Q42,2))),VALUE(LEFT(Q42,2))&lt;=23,VALUE(RIGHT(Q42,2))&lt;=59))</formula1>
    </dataValidation>
    <dataValidation type="custom" showErrorMessage="1" errorStyle="stop" errorTitle="Invalid Time" error="Enter time as HH:MM (e.g. 09:30) or leave blank" sqref="Q420">
      <formula1>OR(Q420="",AND(LEN(Q420)=5,MID(Q420,3,1)=":",ISNUMBER(VALUE(LEFT(Q420,2))),ISNUMBER(VALUE(RIGHT(Q420,2))),VALUE(LEFT(Q420,2))&lt;=23,VALUE(RIGHT(Q420,2))&lt;=59))</formula1>
    </dataValidation>
    <dataValidation type="custom" showErrorMessage="1" errorStyle="stop" errorTitle="Invalid Time" error="Enter time as HH:MM (e.g. 09:30) or leave blank" sqref="Q421">
      <formula1>OR(Q421="",AND(LEN(Q421)=5,MID(Q421,3,1)=":",ISNUMBER(VALUE(LEFT(Q421,2))),ISNUMBER(VALUE(RIGHT(Q421,2))),VALUE(LEFT(Q421,2))&lt;=23,VALUE(RIGHT(Q421,2))&lt;=59))</formula1>
    </dataValidation>
    <dataValidation type="custom" showErrorMessage="1" errorStyle="stop" errorTitle="Invalid Time" error="Enter time as HH:MM (e.g. 09:30) or leave blank" sqref="Q422">
      <formula1>OR(Q422="",AND(LEN(Q422)=5,MID(Q422,3,1)=":",ISNUMBER(VALUE(LEFT(Q422,2))),ISNUMBER(VALUE(RIGHT(Q422,2))),VALUE(LEFT(Q422,2))&lt;=23,VALUE(RIGHT(Q422,2))&lt;=59))</formula1>
    </dataValidation>
    <dataValidation type="custom" showErrorMessage="1" errorStyle="stop" errorTitle="Invalid Time" error="Enter time as HH:MM (e.g. 09:30) or leave blank" sqref="Q423">
      <formula1>OR(Q423="",AND(LEN(Q423)=5,MID(Q423,3,1)=":",ISNUMBER(VALUE(LEFT(Q423,2))),ISNUMBER(VALUE(RIGHT(Q423,2))),VALUE(LEFT(Q423,2))&lt;=23,VALUE(RIGHT(Q423,2))&lt;=59))</formula1>
    </dataValidation>
    <dataValidation type="custom" showErrorMessage="1" errorStyle="stop" errorTitle="Invalid Time" error="Enter time as HH:MM (e.g. 09:30) or leave blank" sqref="Q424">
      <formula1>OR(Q424="",AND(LEN(Q424)=5,MID(Q424,3,1)=":",ISNUMBER(VALUE(LEFT(Q424,2))),ISNUMBER(VALUE(RIGHT(Q424,2))),VALUE(LEFT(Q424,2))&lt;=23,VALUE(RIGHT(Q424,2))&lt;=59))</formula1>
    </dataValidation>
    <dataValidation type="custom" showErrorMessage="1" errorStyle="stop" errorTitle="Invalid Time" error="Enter time as HH:MM (e.g. 09:30) or leave blank" sqref="Q425">
      <formula1>OR(Q425="",AND(LEN(Q425)=5,MID(Q425,3,1)=":",ISNUMBER(VALUE(LEFT(Q425,2))),ISNUMBER(VALUE(RIGHT(Q425,2))),VALUE(LEFT(Q425,2))&lt;=23,VALUE(RIGHT(Q425,2))&lt;=59))</formula1>
    </dataValidation>
    <dataValidation type="custom" showErrorMessage="1" errorStyle="stop" errorTitle="Invalid Time" error="Enter time as HH:MM (e.g. 09:30) or leave blank" sqref="Q426">
      <formula1>OR(Q426="",AND(LEN(Q426)=5,MID(Q426,3,1)=":",ISNUMBER(VALUE(LEFT(Q426,2))),ISNUMBER(VALUE(RIGHT(Q426,2))),VALUE(LEFT(Q426,2))&lt;=23,VALUE(RIGHT(Q426,2))&lt;=59))</formula1>
    </dataValidation>
    <dataValidation type="custom" showErrorMessage="1" errorStyle="stop" errorTitle="Invalid Time" error="Enter time as HH:MM (e.g. 09:30) or leave blank" sqref="Q427">
      <formula1>OR(Q427="",AND(LEN(Q427)=5,MID(Q427,3,1)=":",ISNUMBER(VALUE(LEFT(Q427,2))),ISNUMBER(VALUE(RIGHT(Q427,2))),VALUE(LEFT(Q427,2))&lt;=23,VALUE(RIGHT(Q427,2))&lt;=59))</formula1>
    </dataValidation>
    <dataValidation type="custom" showErrorMessage="1" errorStyle="stop" errorTitle="Invalid Time" error="Enter time as HH:MM (e.g. 09:30) or leave blank" sqref="Q428">
      <formula1>OR(Q428="",AND(LEN(Q428)=5,MID(Q428,3,1)=":",ISNUMBER(VALUE(LEFT(Q428,2))),ISNUMBER(VALUE(RIGHT(Q428,2))),VALUE(LEFT(Q428,2))&lt;=23,VALUE(RIGHT(Q428,2))&lt;=59))</formula1>
    </dataValidation>
    <dataValidation type="custom" showErrorMessage="1" errorStyle="stop" errorTitle="Invalid Time" error="Enter time as HH:MM (e.g. 09:30) or leave blank" sqref="Q429">
      <formula1>OR(Q429="",AND(LEN(Q429)=5,MID(Q429,3,1)=":",ISNUMBER(VALUE(LEFT(Q429,2))),ISNUMBER(VALUE(RIGHT(Q429,2))),VALUE(LEFT(Q429,2))&lt;=23,VALUE(RIGHT(Q429,2))&lt;=59))</formula1>
    </dataValidation>
    <dataValidation type="custom" showErrorMessage="1" errorStyle="stop" errorTitle="Invalid Time" error="Enter time as HH:MM (e.g. 09:30) or leave blank" sqref="Q43">
      <formula1>OR(Q43="",AND(LEN(Q43)=5,MID(Q43,3,1)=":",ISNUMBER(VALUE(LEFT(Q43,2))),ISNUMBER(VALUE(RIGHT(Q43,2))),VALUE(LEFT(Q43,2))&lt;=23,VALUE(RIGHT(Q43,2))&lt;=59))</formula1>
    </dataValidation>
    <dataValidation type="custom" showErrorMessage="1" errorStyle="stop" errorTitle="Invalid Time" error="Enter time as HH:MM (e.g. 09:30) or leave blank" sqref="Q430">
      <formula1>OR(Q430="",AND(LEN(Q430)=5,MID(Q430,3,1)=":",ISNUMBER(VALUE(LEFT(Q430,2))),ISNUMBER(VALUE(RIGHT(Q430,2))),VALUE(LEFT(Q430,2))&lt;=23,VALUE(RIGHT(Q430,2))&lt;=59))</formula1>
    </dataValidation>
    <dataValidation type="custom" showErrorMessage="1" errorStyle="stop" errorTitle="Invalid Time" error="Enter time as HH:MM (e.g. 09:30) or leave blank" sqref="Q431">
      <formula1>OR(Q431="",AND(LEN(Q431)=5,MID(Q431,3,1)=":",ISNUMBER(VALUE(LEFT(Q431,2))),ISNUMBER(VALUE(RIGHT(Q431,2))),VALUE(LEFT(Q431,2))&lt;=23,VALUE(RIGHT(Q431,2))&lt;=59))</formula1>
    </dataValidation>
    <dataValidation type="custom" showErrorMessage="1" errorStyle="stop" errorTitle="Invalid Time" error="Enter time as HH:MM (e.g. 09:30) or leave blank" sqref="Q432">
      <formula1>OR(Q432="",AND(LEN(Q432)=5,MID(Q432,3,1)=":",ISNUMBER(VALUE(LEFT(Q432,2))),ISNUMBER(VALUE(RIGHT(Q432,2))),VALUE(LEFT(Q432,2))&lt;=23,VALUE(RIGHT(Q432,2))&lt;=59))</formula1>
    </dataValidation>
    <dataValidation type="custom" showErrorMessage="1" errorStyle="stop" errorTitle="Invalid Time" error="Enter time as HH:MM (e.g. 09:30) or leave blank" sqref="Q433">
      <formula1>OR(Q433="",AND(LEN(Q433)=5,MID(Q433,3,1)=":",ISNUMBER(VALUE(LEFT(Q433,2))),ISNUMBER(VALUE(RIGHT(Q433,2))),VALUE(LEFT(Q433,2))&lt;=23,VALUE(RIGHT(Q433,2))&lt;=59))</formula1>
    </dataValidation>
    <dataValidation type="custom" showErrorMessage="1" errorStyle="stop" errorTitle="Invalid Time" error="Enter time as HH:MM (e.g. 09:30) or leave blank" sqref="Q434">
      <formula1>OR(Q434="",AND(LEN(Q434)=5,MID(Q434,3,1)=":",ISNUMBER(VALUE(LEFT(Q434,2))),ISNUMBER(VALUE(RIGHT(Q434,2))),VALUE(LEFT(Q434,2))&lt;=23,VALUE(RIGHT(Q434,2))&lt;=59))</formula1>
    </dataValidation>
    <dataValidation type="custom" showErrorMessage="1" errorStyle="stop" errorTitle="Invalid Time" error="Enter time as HH:MM (e.g. 09:30) or leave blank" sqref="Q435">
      <formula1>OR(Q435="",AND(LEN(Q435)=5,MID(Q435,3,1)=":",ISNUMBER(VALUE(LEFT(Q435,2))),ISNUMBER(VALUE(RIGHT(Q435,2))),VALUE(LEFT(Q435,2))&lt;=23,VALUE(RIGHT(Q435,2))&lt;=59))</formula1>
    </dataValidation>
    <dataValidation type="custom" showErrorMessage="1" errorStyle="stop" errorTitle="Invalid Time" error="Enter time as HH:MM (e.g. 09:30) or leave blank" sqref="Q436">
      <formula1>OR(Q436="",AND(LEN(Q436)=5,MID(Q436,3,1)=":",ISNUMBER(VALUE(LEFT(Q436,2))),ISNUMBER(VALUE(RIGHT(Q436,2))),VALUE(LEFT(Q436,2))&lt;=23,VALUE(RIGHT(Q436,2))&lt;=59))</formula1>
    </dataValidation>
    <dataValidation type="custom" showErrorMessage="1" errorStyle="stop" errorTitle="Invalid Time" error="Enter time as HH:MM (e.g. 09:30) or leave blank" sqref="Q437">
      <formula1>OR(Q437="",AND(LEN(Q437)=5,MID(Q437,3,1)=":",ISNUMBER(VALUE(LEFT(Q437,2))),ISNUMBER(VALUE(RIGHT(Q437,2))),VALUE(LEFT(Q437,2))&lt;=23,VALUE(RIGHT(Q437,2))&lt;=59))</formula1>
    </dataValidation>
    <dataValidation type="custom" showErrorMessage="1" errorStyle="stop" errorTitle="Invalid Time" error="Enter time as HH:MM (e.g. 09:30) or leave blank" sqref="Q438">
      <formula1>OR(Q438="",AND(LEN(Q438)=5,MID(Q438,3,1)=":",ISNUMBER(VALUE(LEFT(Q438,2))),ISNUMBER(VALUE(RIGHT(Q438,2))),VALUE(LEFT(Q438,2))&lt;=23,VALUE(RIGHT(Q438,2))&lt;=59))</formula1>
    </dataValidation>
    <dataValidation type="custom" showErrorMessage="1" errorStyle="stop" errorTitle="Invalid Time" error="Enter time as HH:MM (e.g. 09:30) or leave blank" sqref="Q439">
      <formula1>OR(Q439="",AND(LEN(Q439)=5,MID(Q439,3,1)=":",ISNUMBER(VALUE(LEFT(Q439,2))),ISNUMBER(VALUE(RIGHT(Q439,2))),VALUE(LEFT(Q439,2))&lt;=23,VALUE(RIGHT(Q439,2))&lt;=59))</formula1>
    </dataValidation>
    <dataValidation type="custom" showErrorMessage="1" errorStyle="stop" errorTitle="Invalid Time" error="Enter time as HH:MM (e.g. 09:30) or leave blank" sqref="Q44">
      <formula1>OR(Q44="",AND(LEN(Q44)=5,MID(Q44,3,1)=":",ISNUMBER(VALUE(LEFT(Q44,2))),ISNUMBER(VALUE(RIGHT(Q44,2))),VALUE(LEFT(Q44,2))&lt;=23,VALUE(RIGHT(Q44,2))&lt;=59))</formula1>
    </dataValidation>
    <dataValidation type="custom" showErrorMessage="1" errorStyle="stop" errorTitle="Invalid Time" error="Enter time as HH:MM (e.g. 09:30) or leave blank" sqref="Q440">
      <formula1>OR(Q440="",AND(LEN(Q440)=5,MID(Q440,3,1)=":",ISNUMBER(VALUE(LEFT(Q440,2))),ISNUMBER(VALUE(RIGHT(Q440,2))),VALUE(LEFT(Q440,2))&lt;=23,VALUE(RIGHT(Q440,2))&lt;=59))</formula1>
    </dataValidation>
    <dataValidation type="custom" showErrorMessage="1" errorStyle="stop" errorTitle="Invalid Time" error="Enter time as HH:MM (e.g. 09:30) or leave blank" sqref="Q441">
      <formula1>OR(Q441="",AND(LEN(Q441)=5,MID(Q441,3,1)=":",ISNUMBER(VALUE(LEFT(Q441,2))),ISNUMBER(VALUE(RIGHT(Q441,2))),VALUE(LEFT(Q441,2))&lt;=23,VALUE(RIGHT(Q441,2))&lt;=59))</formula1>
    </dataValidation>
    <dataValidation type="custom" showErrorMessage="1" errorStyle="stop" errorTitle="Invalid Time" error="Enter time as HH:MM (e.g. 09:30) or leave blank" sqref="Q442">
      <formula1>OR(Q442="",AND(LEN(Q442)=5,MID(Q442,3,1)=":",ISNUMBER(VALUE(LEFT(Q442,2))),ISNUMBER(VALUE(RIGHT(Q442,2))),VALUE(LEFT(Q442,2))&lt;=23,VALUE(RIGHT(Q442,2))&lt;=59))</formula1>
    </dataValidation>
    <dataValidation type="custom" showErrorMessage="1" errorStyle="stop" errorTitle="Invalid Time" error="Enter time as HH:MM (e.g. 09:30) or leave blank" sqref="Q443">
      <formula1>OR(Q443="",AND(LEN(Q443)=5,MID(Q443,3,1)=":",ISNUMBER(VALUE(LEFT(Q443,2))),ISNUMBER(VALUE(RIGHT(Q443,2))),VALUE(LEFT(Q443,2))&lt;=23,VALUE(RIGHT(Q443,2))&lt;=59))</formula1>
    </dataValidation>
    <dataValidation type="custom" showErrorMessage="1" errorStyle="stop" errorTitle="Invalid Time" error="Enter time as HH:MM (e.g. 09:30) or leave blank" sqref="Q444">
      <formula1>OR(Q444="",AND(LEN(Q444)=5,MID(Q444,3,1)=":",ISNUMBER(VALUE(LEFT(Q444,2))),ISNUMBER(VALUE(RIGHT(Q444,2))),VALUE(LEFT(Q444,2))&lt;=23,VALUE(RIGHT(Q444,2))&lt;=59))</formula1>
    </dataValidation>
    <dataValidation type="custom" showErrorMessage="1" errorStyle="stop" errorTitle="Invalid Time" error="Enter time as HH:MM (e.g. 09:30) or leave blank" sqref="Q445">
      <formula1>OR(Q445="",AND(LEN(Q445)=5,MID(Q445,3,1)=":",ISNUMBER(VALUE(LEFT(Q445,2))),ISNUMBER(VALUE(RIGHT(Q445,2))),VALUE(LEFT(Q445,2))&lt;=23,VALUE(RIGHT(Q445,2))&lt;=59))</formula1>
    </dataValidation>
    <dataValidation type="custom" showErrorMessage="1" errorStyle="stop" errorTitle="Invalid Time" error="Enter time as HH:MM (e.g. 09:30) or leave blank" sqref="Q446">
      <formula1>OR(Q446="",AND(LEN(Q446)=5,MID(Q446,3,1)=":",ISNUMBER(VALUE(LEFT(Q446,2))),ISNUMBER(VALUE(RIGHT(Q446,2))),VALUE(LEFT(Q446,2))&lt;=23,VALUE(RIGHT(Q446,2))&lt;=59))</formula1>
    </dataValidation>
    <dataValidation type="custom" showErrorMessage="1" errorStyle="stop" errorTitle="Invalid Time" error="Enter time as HH:MM (e.g. 09:30) or leave blank" sqref="Q447">
      <formula1>OR(Q447="",AND(LEN(Q447)=5,MID(Q447,3,1)=":",ISNUMBER(VALUE(LEFT(Q447,2))),ISNUMBER(VALUE(RIGHT(Q447,2))),VALUE(LEFT(Q447,2))&lt;=23,VALUE(RIGHT(Q447,2))&lt;=59))</formula1>
    </dataValidation>
    <dataValidation type="custom" showErrorMessage="1" errorStyle="stop" errorTitle="Invalid Time" error="Enter time as HH:MM (e.g. 09:30) or leave blank" sqref="Q448">
      <formula1>OR(Q448="",AND(LEN(Q448)=5,MID(Q448,3,1)=":",ISNUMBER(VALUE(LEFT(Q448,2))),ISNUMBER(VALUE(RIGHT(Q448,2))),VALUE(LEFT(Q448,2))&lt;=23,VALUE(RIGHT(Q448,2))&lt;=59))</formula1>
    </dataValidation>
    <dataValidation type="custom" showErrorMessage="1" errorStyle="stop" errorTitle="Invalid Time" error="Enter time as HH:MM (e.g. 09:30) or leave blank" sqref="Q449">
      <formula1>OR(Q449="",AND(LEN(Q449)=5,MID(Q449,3,1)=":",ISNUMBER(VALUE(LEFT(Q449,2))),ISNUMBER(VALUE(RIGHT(Q449,2))),VALUE(LEFT(Q449,2))&lt;=23,VALUE(RIGHT(Q449,2))&lt;=59))</formula1>
    </dataValidation>
    <dataValidation type="custom" showErrorMessage="1" errorStyle="stop" errorTitle="Invalid Time" error="Enter time as HH:MM (e.g. 09:30) or leave blank" sqref="Q45">
      <formula1>OR(Q45="",AND(LEN(Q45)=5,MID(Q45,3,1)=":",ISNUMBER(VALUE(LEFT(Q45,2))),ISNUMBER(VALUE(RIGHT(Q45,2))),VALUE(LEFT(Q45,2))&lt;=23,VALUE(RIGHT(Q45,2))&lt;=59))</formula1>
    </dataValidation>
    <dataValidation type="custom" showErrorMessage="1" errorStyle="stop" errorTitle="Invalid Time" error="Enter time as HH:MM (e.g. 09:30) or leave blank" sqref="Q450">
      <formula1>OR(Q450="",AND(LEN(Q450)=5,MID(Q450,3,1)=":",ISNUMBER(VALUE(LEFT(Q450,2))),ISNUMBER(VALUE(RIGHT(Q450,2))),VALUE(LEFT(Q450,2))&lt;=23,VALUE(RIGHT(Q450,2))&lt;=59))</formula1>
    </dataValidation>
    <dataValidation type="custom" showErrorMessage="1" errorStyle="stop" errorTitle="Invalid Time" error="Enter time as HH:MM (e.g. 09:30) or leave blank" sqref="Q451">
      <formula1>OR(Q451="",AND(LEN(Q451)=5,MID(Q451,3,1)=":",ISNUMBER(VALUE(LEFT(Q451,2))),ISNUMBER(VALUE(RIGHT(Q451,2))),VALUE(LEFT(Q451,2))&lt;=23,VALUE(RIGHT(Q451,2))&lt;=59))</formula1>
    </dataValidation>
    <dataValidation type="custom" showErrorMessage="1" errorStyle="stop" errorTitle="Invalid Time" error="Enter time as HH:MM (e.g. 09:30) or leave blank" sqref="Q452">
      <formula1>OR(Q452="",AND(LEN(Q452)=5,MID(Q452,3,1)=":",ISNUMBER(VALUE(LEFT(Q452,2))),ISNUMBER(VALUE(RIGHT(Q452,2))),VALUE(LEFT(Q452,2))&lt;=23,VALUE(RIGHT(Q452,2))&lt;=59))</formula1>
    </dataValidation>
    <dataValidation type="custom" showErrorMessage="1" errorStyle="stop" errorTitle="Invalid Time" error="Enter time as HH:MM (e.g. 09:30) or leave blank" sqref="Q453">
      <formula1>OR(Q453="",AND(LEN(Q453)=5,MID(Q453,3,1)=":",ISNUMBER(VALUE(LEFT(Q453,2))),ISNUMBER(VALUE(RIGHT(Q453,2))),VALUE(LEFT(Q453,2))&lt;=23,VALUE(RIGHT(Q453,2))&lt;=59))</formula1>
    </dataValidation>
    <dataValidation type="custom" showErrorMessage="1" errorStyle="stop" errorTitle="Invalid Time" error="Enter time as HH:MM (e.g. 09:30) or leave blank" sqref="Q454">
      <formula1>OR(Q454="",AND(LEN(Q454)=5,MID(Q454,3,1)=":",ISNUMBER(VALUE(LEFT(Q454,2))),ISNUMBER(VALUE(RIGHT(Q454,2))),VALUE(LEFT(Q454,2))&lt;=23,VALUE(RIGHT(Q454,2))&lt;=59))</formula1>
    </dataValidation>
    <dataValidation type="custom" showErrorMessage="1" errorStyle="stop" errorTitle="Invalid Time" error="Enter time as HH:MM (e.g. 09:30) or leave blank" sqref="Q455">
      <formula1>OR(Q455="",AND(LEN(Q455)=5,MID(Q455,3,1)=":",ISNUMBER(VALUE(LEFT(Q455,2))),ISNUMBER(VALUE(RIGHT(Q455,2))),VALUE(LEFT(Q455,2))&lt;=23,VALUE(RIGHT(Q455,2))&lt;=59))</formula1>
    </dataValidation>
    <dataValidation type="custom" showErrorMessage="1" errorStyle="stop" errorTitle="Invalid Time" error="Enter time as HH:MM (e.g. 09:30) or leave blank" sqref="Q456">
      <formula1>OR(Q456="",AND(LEN(Q456)=5,MID(Q456,3,1)=":",ISNUMBER(VALUE(LEFT(Q456,2))),ISNUMBER(VALUE(RIGHT(Q456,2))),VALUE(LEFT(Q456,2))&lt;=23,VALUE(RIGHT(Q456,2))&lt;=59))</formula1>
    </dataValidation>
    <dataValidation type="custom" showErrorMessage="1" errorStyle="stop" errorTitle="Invalid Time" error="Enter time as HH:MM (e.g. 09:30) or leave blank" sqref="Q457">
      <formula1>OR(Q457="",AND(LEN(Q457)=5,MID(Q457,3,1)=":",ISNUMBER(VALUE(LEFT(Q457,2))),ISNUMBER(VALUE(RIGHT(Q457,2))),VALUE(LEFT(Q457,2))&lt;=23,VALUE(RIGHT(Q457,2))&lt;=59))</formula1>
    </dataValidation>
    <dataValidation type="custom" showErrorMessage="1" errorStyle="stop" errorTitle="Invalid Time" error="Enter time as HH:MM (e.g. 09:30) or leave blank" sqref="Q458">
      <formula1>OR(Q458="",AND(LEN(Q458)=5,MID(Q458,3,1)=":",ISNUMBER(VALUE(LEFT(Q458,2))),ISNUMBER(VALUE(RIGHT(Q458,2))),VALUE(LEFT(Q458,2))&lt;=23,VALUE(RIGHT(Q458,2))&lt;=59))</formula1>
    </dataValidation>
    <dataValidation type="custom" showErrorMessage="1" errorStyle="stop" errorTitle="Invalid Time" error="Enter time as HH:MM (e.g. 09:30) or leave blank" sqref="Q459">
      <formula1>OR(Q459="",AND(LEN(Q459)=5,MID(Q459,3,1)=":",ISNUMBER(VALUE(LEFT(Q459,2))),ISNUMBER(VALUE(RIGHT(Q459,2))),VALUE(LEFT(Q459,2))&lt;=23,VALUE(RIGHT(Q459,2))&lt;=59))</formula1>
    </dataValidation>
    <dataValidation type="custom" showErrorMessage="1" errorStyle="stop" errorTitle="Invalid Time" error="Enter time as HH:MM (e.g. 09:30) or leave blank" sqref="Q46">
      <formula1>OR(Q46="",AND(LEN(Q46)=5,MID(Q46,3,1)=":",ISNUMBER(VALUE(LEFT(Q46,2))),ISNUMBER(VALUE(RIGHT(Q46,2))),VALUE(LEFT(Q46,2))&lt;=23,VALUE(RIGHT(Q46,2))&lt;=59))</formula1>
    </dataValidation>
    <dataValidation type="custom" showErrorMessage="1" errorStyle="stop" errorTitle="Invalid Time" error="Enter time as HH:MM (e.g. 09:30) or leave blank" sqref="Q460">
      <formula1>OR(Q460="",AND(LEN(Q460)=5,MID(Q460,3,1)=":",ISNUMBER(VALUE(LEFT(Q460,2))),ISNUMBER(VALUE(RIGHT(Q460,2))),VALUE(LEFT(Q460,2))&lt;=23,VALUE(RIGHT(Q460,2))&lt;=59))</formula1>
    </dataValidation>
    <dataValidation type="custom" showErrorMessage="1" errorStyle="stop" errorTitle="Invalid Time" error="Enter time as HH:MM (e.g. 09:30) or leave blank" sqref="Q461">
      <formula1>OR(Q461="",AND(LEN(Q461)=5,MID(Q461,3,1)=":",ISNUMBER(VALUE(LEFT(Q461,2))),ISNUMBER(VALUE(RIGHT(Q461,2))),VALUE(LEFT(Q461,2))&lt;=23,VALUE(RIGHT(Q461,2))&lt;=59))</formula1>
    </dataValidation>
    <dataValidation type="custom" showErrorMessage="1" errorStyle="stop" errorTitle="Invalid Time" error="Enter time as HH:MM (e.g. 09:30) or leave blank" sqref="Q462">
      <formula1>OR(Q462="",AND(LEN(Q462)=5,MID(Q462,3,1)=":",ISNUMBER(VALUE(LEFT(Q462,2))),ISNUMBER(VALUE(RIGHT(Q462,2))),VALUE(LEFT(Q462,2))&lt;=23,VALUE(RIGHT(Q462,2))&lt;=59))</formula1>
    </dataValidation>
    <dataValidation type="custom" showErrorMessage="1" errorStyle="stop" errorTitle="Invalid Time" error="Enter time as HH:MM (e.g. 09:30) or leave blank" sqref="Q463">
      <formula1>OR(Q463="",AND(LEN(Q463)=5,MID(Q463,3,1)=":",ISNUMBER(VALUE(LEFT(Q463,2))),ISNUMBER(VALUE(RIGHT(Q463,2))),VALUE(LEFT(Q463,2))&lt;=23,VALUE(RIGHT(Q463,2))&lt;=59))</formula1>
    </dataValidation>
    <dataValidation type="custom" showErrorMessage="1" errorStyle="stop" errorTitle="Invalid Time" error="Enter time as HH:MM (e.g. 09:30) or leave blank" sqref="Q464">
      <formula1>OR(Q464="",AND(LEN(Q464)=5,MID(Q464,3,1)=":",ISNUMBER(VALUE(LEFT(Q464,2))),ISNUMBER(VALUE(RIGHT(Q464,2))),VALUE(LEFT(Q464,2))&lt;=23,VALUE(RIGHT(Q464,2))&lt;=59))</formula1>
    </dataValidation>
    <dataValidation type="custom" showErrorMessage="1" errorStyle="stop" errorTitle="Invalid Time" error="Enter time as HH:MM (e.g. 09:30) or leave blank" sqref="Q465">
      <formula1>OR(Q465="",AND(LEN(Q465)=5,MID(Q465,3,1)=":",ISNUMBER(VALUE(LEFT(Q465,2))),ISNUMBER(VALUE(RIGHT(Q465,2))),VALUE(LEFT(Q465,2))&lt;=23,VALUE(RIGHT(Q465,2))&lt;=59))</formula1>
    </dataValidation>
    <dataValidation type="custom" showErrorMessage="1" errorStyle="stop" errorTitle="Invalid Time" error="Enter time as HH:MM (e.g. 09:30) or leave blank" sqref="Q466">
      <formula1>OR(Q466="",AND(LEN(Q466)=5,MID(Q466,3,1)=":",ISNUMBER(VALUE(LEFT(Q466,2))),ISNUMBER(VALUE(RIGHT(Q466,2))),VALUE(LEFT(Q466,2))&lt;=23,VALUE(RIGHT(Q466,2))&lt;=59))</formula1>
    </dataValidation>
    <dataValidation type="custom" showErrorMessage="1" errorStyle="stop" errorTitle="Invalid Time" error="Enter time as HH:MM (e.g. 09:30) or leave blank" sqref="Q467">
      <formula1>OR(Q467="",AND(LEN(Q467)=5,MID(Q467,3,1)=":",ISNUMBER(VALUE(LEFT(Q467,2))),ISNUMBER(VALUE(RIGHT(Q467,2))),VALUE(LEFT(Q467,2))&lt;=23,VALUE(RIGHT(Q467,2))&lt;=59))</formula1>
    </dataValidation>
    <dataValidation type="custom" showErrorMessage="1" errorStyle="stop" errorTitle="Invalid Time" error="Enter time as HH:MM (e.g. 09:30) or leave blank" sqref="Q468">
      <formula1>OR(Q468="",AND(LEN(Q468)=5,MID(Q468,3,1)=":",ISNUMBER(VALUE(LEFT(Q468,2))),ISNUMBER(VALUE(RIGHT(Q468,2))),VALUE(LEFT(Q468,2))&lt;=23,VALUE(RIGHT(Q468,2))&lt;=59))</formula1>
    </dataValidation>
    <dataValidation type="custom" showErrorMessage="1" errorStyle="stop" errorTitle="Invalid Time" error="Enter time as HH:MM (e.g. 09:30) or leave blank" sqref="Q469">
      <formula1>OR(Q469="",AND(LEN(Q469)=5,MID(Q469,3,1)=":",ISNUMBER(VALUE(LEFT(Q469,2))),ISNUMBER(VALUE(RIGHT(Q469,2))),VALUE(LEFT(Q469,2))&lt;=23,VALUE(RIGHT(Q469,2))&lt;=59))</formula1>
    </dataValidation>
    <dataValidation type="custom" showErrorMessage="1" errorStyle="stop" errorTitle="Invalid Time" error="Enter time as HH:MM (e.g. 09:30) or leave blank" sqref="Q47">
      <formula1>OR(Q47="",AND(LEN(Q47)=5,MID(Q47,3,1)=":",ISNUMBER(VALUE(LEFT(Q47,2))),ISNUMBER(VALUE(RIGHT(Q47,2))),VALUE(LEFT(Q47,2))&lt;=23,VALUE(RIGHT(Q47,2))&lt;=59))</formula1>
    </dataValidation>
    <dataValidation type="custom" showErrorMessage="1" errorStyle="stop" errorTitle="Invalid Time" error="Enter time as HH:MM (e.g. 09:30) or leave blank" sqref="Q470">
      <formula1>OR(Q470="",AND(LEN(Q470)=5,MID(Q470,3,1)=":",ISNUMBER(VALUE(LEFT(Q470,2))),ISNUMBER(VALUE(RIGHT(Q470,2))),VALUE(LEFT(Q470,2))&lt;=23,VALUE(RIGHT(Q470,2))&lt;=59))</formula1>
    </dataValidation>
    <dataValidation type="custom" showErrorMessage="1" errorStyle="stop" errorTitle="Invalid Time" error="Enter time as HH:MM (e.g. 09:30) or leave blank" sqref="Q471">
      <formula1>OR(Q471="",AND(LEN(Q471)=5,MID(Q471,3,1)=":",ISNUMBER(VALUE(LEFT(Q471,2))),ISNUMBER(VALUE(RIGHT(Q471,2))),VALUE(LEFT(Q471,2))&lt;=23,VALUE(RIGHT(Q471,2))&lt;=59))</formula1>
    </dataValidation>
    <dataValidation type="custom" showErrorMessage="1" errorStyle="stop" errorTitle="Invalid Time" error="Enter time as HH:MM (e.g. 09:30) or leave blank" sqref="Q472">
      <formula1>OR(Q472="",AND(LEN(Q472)=5,MID(Q472,3,1)=":",ISNUMBER(VALUE(LEFT(Q472,2))),ISNUMBER(VALUE(RIGHT(Q472,2))),VALUE(LEFT(Q472,2))&lt;=23,VALUE(RIGHT(Q472,2))&lt;=59))</formula1>
    </dataValidation>
    <dataValidation type="custom" showErrorMessage="1" errorStyle="stop" errorTitle="Invalid Time" error="Enter time as HH:MM (e.g. 09:30) or leave blank" sqref="Q473">
      <formula1>OR(Q473="",AND(LEN(Q473)=5,MID(Q473,3,1)=":",ISNUMBER(VALUE(LEFT(Q473,2))),ISNUMBER(VALUE(RIGHT(Q473,2))),VALUE(LEFT(Q473,2))&lt;=23,VALUE(RIGHT(Q473,2))&lt;=59))</formula1>
    </dataValidation>
    <dataValidation type="custom" showErrorMessage="1" errorStyle="stop" errorTitle="Invalid Time" error="Enter time as HH:MM (e.g. 09:30) or leave blank" sqref="Q474">
      <formula1>OR(Q474="",AND(LEN(Q474)=5,MID(Q474,3,1)=":",ISNUMBER(VALUE(LEFT(Q474,2))),ISNUMBER(VALUE(RIGHT(Q474,2))),VALUE(LEFT(Q474,2))&lt;=23,VALUE(RIGHT(Q474,2))&lt;=59))</formula1>
    </dataValidation>
    <dataValidation type="custom" showErrorMessage="1" errorStyle="stop" errorTitle="Invalid Time" error="Enter time as HH:MM (e.g. 09:30) or leave blank" sqref="Q475">
      <formula1>OR(Q475="",AND(LEN(Q475)=5,MID(Q475,3,1)=":",ISNUMBER(VALUE(LEFT(Q475,2))),ISNUMBER(VALUE(RIGHT(Q475,2))),VALUE(LEFT(Q475,2))&lt;=23,VALUE(RIGHT(Q475,2))&lt;=59))</formula1>
    </dataValidation>
    <dataValidation type="custom" showErrorMessage="1" errorStyle="stop" errorTitle="Invalid Time" error="Enter time as HH:MM (e.g. 09:30) or leave blank" sqref="Q476">
      <formula1>OR(Q476="",AND(LEN(Q476)=5,MID(Q476,3,1)=":",ISNUMBER(VALUE(LEFT(Q476,2))),ISNUMBER(VALUE(RIGHT(Q476,2))),VALUE(LEFT(Q476,2))&lt;=23,VALUE(RIGHT(Q476,2))&lt;=59))</formula1>
    </dataValidation>
    <dataValidation type="custom" showErrorMessage="1" errorStyle="stop" errorTitle="Invalid Time" error="Enter time as HH:MM (e.g. 09:30) or leave blank" sqref="Q477">
      <formula1>OR(Q477="",AND(LEN(Q477)=5,MID(Q477,3,1)=":",ISNUMBER(VALUE(LEFT(Q477,2))),ISNUMBER(VALUE(RIGHT(Q477,2))),VALUE(LEFT(Q477,2))&lt;=23,VALUE(RIGHT(Q477,2))&lt;=59))</formula1>
    </dataValidation>
    <dataValidation type="custom" showErrorMessage="1" errorStyle="stop" errorTitle="Invalid Time" error="Enter time as HH:MM (e.g. 09:30) or leave blank" sqref="Q478">
      <formula1>OR(Q478="",AND(LEN(Q478)=5,MID(Q478,3,1)=":",ISNUMBER(VALUE(LEFT(Q478,2))),ISNUMBER(VALUE(RIGHT(Q478,2))),VALUE(LEFT(Q478,2))&lt;=23,VALUE(RIGHT(Q478,2))&lt;=59))</formula1>
    </dataValidation>
    <dataValidation type="custom" showErrorMessage="1" errorStyle="stop" errorTitle="Invalid Time" error="Enter time as HH:MM (e.g. 09:30) or leave blank" sqref="Q479">
      <formula1>OR(Q479="",AND(LEN(Q479)=5,MID(Q479,3,1)=":",ISNUMBER(VALUE(LEFT(Q479,2))),ISNUMBER(VALUE(RIGHT(Q479,2))),VALUE(LEFT(Q479,2))&lt;=23,VALUE(RIGHT(Q479,2))&lt;=59))</formula1>
    </dataValidation>
    <dataValidation type="custom" showErrorMessage="1" errorStyle="stop" errorTitle="Invalid Time" error="Enter time as HH:MM (e.g. 09:30) or leave blank" sqref="Q48">
      <formula1>OR(Q48="",AND(LEN(Q48)=5,MID(Q48,3,1)=":",ISNUMBER(VALUE(LEFT(Q48,2))),ISNUMBER(VALUE(RIGHT(Q48,2))),VALUE(LEFT(Q48,2))&lt;=23,VALUE(RIGHT(Q48,2))&lt;=59))</formula1>
    </dataValidation>
    <dataValidation type="custom" showErrorMessage="1" errorStyle="stop" errorTitle="Invalid Time" error="Enter time as HH:MM (e.g. 09:30) or leave blank" sqref="Q480">
      <formula1>OR(Q480="",AND(LEN(Q480)=5,MID(Q480,3,1)=":",ISNUMBER(VALUE(LEFT(Q480,2))),ISNUMBER(VALUE(RIGHT(Q480,2))),VALUE(LEFT(Q480,2))&lt;=23,VALUE(RIGHT(Q480,2))&lt;=59))</formula1>
    </dataValidation>
    <dataValidation type="custom" showErrorMessage="1" errorStyle="stop" errorTitle="Invalid Time" error="Enter time as HH:MM (e.g. 09:30) or leave blank" sqref="Q481">
      <formula1>OR(Q481="",AND(LEN(Q481)=5,MID(Q481,3,1)=":",ISNUMBER(VALUE(LEFT(Q481,2))),ISNUMBER(VALUE(RIGHT(Q481,2))),VALUE(LEFT(Q481,2))&lt;=23,VALUE(RIGHT(Q481,2))&lt;=59))</formula1>
    </dataValidation>
    <dataValidation type="custom" showErrorMessage="1" errorStyle="stop" errorTitle="Invalid Time" error="Enter time as HH:MM (e.g. 09:30) or leave blank" sqref="Q482">
      <formula1>OR(Q482="",AND(LEN(Q482)=5,MID(Q482,3,1)=":",ISNUMBER(VALUE(LEFT(Q482,2))),ISNUMBER(VALUE(RIGHT(Q482,2))),VALUE(LEFT(Q482,2))&lt;=23,VALUE(RIGHT(Q482,2))&lt;=59))</formula1>
    </dataValidation>
    <dataValidation type="custom" showErrorMessage="1" errorStyle="stop" errorTitle="Invalid Time" error="Enter time as HH:MM (e.g. 09:30) or leave blank" sqref="Q483">
      <formula1>OR(Q483="",AND(LEN(Q483)=5,MID(Q483,3,1)=":",ISNUMBER(VALUE(LEFT(Q483,2))),ISNUMBER(VALUE(RIGHT(Q483,2))),VALUE(LEFT(Q483,2))&lt;=23,VALUE(RIGHT(Q483,2))&lt;=59))</formula1>
    </dataValidation>
    <dataValidation type="custom" showErrorMessage="1" errorStyle="stop" errorTitle="Invalid Time" error="Enter time as HH:MM (e.g. 09:30) or leave blank" sqref="Q484">
      <formula1>OR(Q484="",AND(LEN(Q484)=5,MID(Q484,3,1)=":",ISNUMBER(VALUE(LEFT(Q484,2))),ISNUMBER(VALUE(RIGHT(Q484,2))),VALUE(LEFT(Q484,2))&lt;=23,VALUE(RIGHT(Q484,2))&lt;=59))</formula1>
    </dataValidation>
    <dataValidation type="custom" showErrorMessage="1" errorStyle="stop" errorTitle="Invalid Time" error="Enter time as HH:MM (e.g. 09:30) or leave blank" sqref="Q485">
      <formula1>OR(Q485="",AND(LEN(Q485)=5,MID(Q485,3,1)=":",ISNUMBER(VALUE(LEFT(Q485,2))),ISNUMBER(VALUE(RIGHT(Q485,2))),VALUE(LEFT(Q485,2))&lt;=23,VALUE(RIGHT(Q485,2))&lt;=59))</formula1>
    </dataValidation>
    <dataValidation type="custom" showErrorMessage="1" errorStyle="stop" errorTitle="Invalid Time" error="Enter time as HH:MM (e.g. 09:30) or leave blank" sqref="Q486">
      <formula1>OR(Q486="",AND(LEN(Q486)=5,MID(Q486,3,1)=":",ISNUMBER(VALUE(LEFT(Q486,2))),ISNUMBER(VALUE(RIGHT(Q486,2))),VALUE(LEFT(Q486,2))&lt;=23,VALUE(RIGHT(Q486,2))&lt;=59))</formula1>
    </dataValidation>
    <dataValidation type="custom" showErrorMessage="1" errorStyle="stop" errorTitle="Invalid Time" error="Enter time as HH:MM (e.g. 09:30) or leave blank" sqref="Q487">
      <formula1>OR(Q487="",AND(LEN(Q487)=5,MID(Q487,3,1)=":",ISNUMBER(VALUE(LEFT(Q487,2))),ISNUMBER(VALUE(RIGHT(Q487,2))),VALUE(LEFT(Q487,2))&lt;=23,VALUE(RIGHT(Q487,2))&lt;=59))</formula1>
    </dataValidation>
    <dataValidation type="custom" showErrorMessage="1" errorStyle="stop" errorTitle="Invalid Time" error="Enter time as HH:MM (e.g. 09:30) or leave blank" sqref="Q488">
      <formula1>OR(Q488="",AND(LEN(Q488)=5,MID(Q488,3,1)=":",ISNUMBER(VALUE(LEFT(Q488,2))),ISNUMBER(VALUE(RIGHT(Q488,2))),VALUE(LEFT(Q488,2))&lt;=23,VALUE(RIGHT(Q488,2))&lt;=59))</formula1>
    </dataValidation>
    <dataValidation type="custom" showErrorMessage="1" errorStyle="stop" errorTitle="Invalid Time" error="Enter time as HH:MM (e.g. 09:30) or leave blank" sqref="Q489">
      <formula1>OR(Q489="",AND(LEN(Q489)=5,MID(Q489,3,1)=":",ISNUMBER(VALUE(LEFT(Q489,2))),ISNUMBER(VALUE(RIGHT(Q489,2))),VALUE(LEFT(Q489,2))&lt;=23,VALUE(RIGHT(Q489,2))&lt;=59))</formula1>
    </dataValidation>
    <dataValidation type="custom" showErrorMessage="1" errorStyle="stop" errorTitle="Invalid Time" error="Enter time as HH:MM (e.g. 09:30) or leave blank" sqref="Q49">
      <formula1>OR(Q49="",AND(LEN(Q49)=5,MID(Q49,3,1)=":",ISNUMBER(VALUE(LEFT(Q49,2))),ISNUMBER(VALUE(RIGHT(Q49,2))),VALUE(LEFT(Q49,2))&lt;=23,VALUE(RIGHT(Q49,2))&lt;=59))</formula1>
    </dataValidation>
    <dataValidation type="custom" showErrorMessage="1" errorStyle="stop" errorTitle="Invalid Time" error="Enter time as HH:MM (e.g. 09:30) or leave blank" sqref="Q490">
      <formula1>OR(Q490="",AND(LEN(Q490)=5,MID(Q490,3,1)=":",ISNUMBER(VALUE(LEFT(Q490,2))),ISNUMBER(VALUE(RIGHT(Q490,2))),VALUE(LEFT(Q490,2))&lt;=23,VALUE(RIGHT(Q490,2))&lt;=59))</formula1>
    </dataValidation>
    <dataValidation type="custom" showErrorMessage="1" errorStyle="stop" errorTitle="Invalid Time" error="Enter time as HH:MM (e.g. 09:30) or leave blank" sqref="Q491">
      <formula1>OR(Q491="",AND(LEN(Q491)=5,MID(Q491,3,1)=":",ISNUMBER(VALUE(LEFT(Q491,2))),ISNUMBER(VALUE(RIGHT(Q491,2))),VALUE(LEFT(Q491,2))&lt;=23,VALUE(RIGHT(Q491,2))&lt;=59))</formula1>
    </dataValidation>
    <dataValidation type="custom" showErrorMessage="1" errorStyle="stop" errorTitle="Invalid Time" error="Enter time as HH:MM (e.g. 09:30) or leave blank" sqref="Q492">
      <formula1>OR(Q492="",AND(LEN(Q492)=5,MID(Q492,3,1)=":",ISNUMBER(VALUE(LEFT(Q492,2))),ISNUMBER(VALUE(RIGHT(Q492,2))),VALUE(LEFT(Q492,2))&lt;=23,VALUE(RIGHT(Q492,2))&lt;=59))</formula1>
    </dataValidation>
    <dataValidation type="custom" showErrorMessage="1" errorStyle="stop" errorTitle="Invalid Time" error="Enter time as HH:MM (e.g. 09:30) or leave blank" sqref="Q493">
      <formula1>OR(Q493="",AND(LEN(Q493)=5,MID(Q493,3,1)=":",ISNUMBER(VALUE(LEFT(Q493,2))),ISNUMBER(VALUE(RIGHT(Q493,2))),VALUE(LEFT(Q493,2))&lt;=23,VALUE(RIGHT(Q493,2))&lt;=59))</formula1>
    </dataValidation>
    <dataValidation type="custom" showErrorMessage="1" errorStyle="stop" errorTitle="Invalid Time" error="Enter time as HH:MM (e.g. 09:30) or leave blank" sqref="Q494">
      <formula1>OR(Q494="",AND(LEN(Q494)=5,MID(Q494,3,1)=":",ISNUMBER(VALUE(LEFT(Q494,2))),ISNUMBER(VALUE(RIGHT(Q494,2))),VALUE(LEFT(Q494,2))&lt;=23,VALUE(RIGHT(Q494,2))&lt;=59))</formula1>
    </dataValidation>
    <dataValidation type="custom" showErrorMessage="1" errorStyle="stop" errorTitle="Invalid Time" error="Enter time as HH:MM (e.g. 09:30) or leave blank" sqref="Q495">
      <formula1>OR(Q495="",AND(LEN(Q495)=5,MID(Q495,3,1)=":",ISNUMBER(VALUE(LEFT(Q495,2))),ISNUMBER(VALUE(RIGHT(Q495,2))),VALUE(LEFT(Q495,2))&lt;=23,VALUE(RIGHT(Q495,2))&lt;=59))</formula1>
    </dataValidation>
    <dataValidation type="custom" showErrorMessage="1" errorStyle="stop" errorTitle="Invalid Time" error="Enter time as HH:MM (e.g. 09:30) or leave blank" sqref="Q496">
      <formula1>OR(Q496="",AND(LEN(Q496)=5,MID(Q496,3,1)=":",ISNUMBER(VALUE(LEFT(Q496,2))),ISNUMBER(VALUE(RIGHT(Q496,2))),VALUE(LEFT(Q496,2))&lt;=23,VALUE(RIGHT(Q496,2))&lt;=59))</formula1>
    </dataValidation>
    <dataValidation type="custom" showErrorMessage="1" errorStyle="stop" errorTitle="Invalid Time" error="Enter time as HH:MM (e.g. 09:30) or leave blank" sqref="Q497">
      <formula1>OR(Q497="",AND(LEN(Q497)=5,MID(Q497,3,1)=":",ISNUMBER(VALUE(LEFT(Q497,2))),ISNUMBER(VALUE(RIGHT(Q497,2))),VALUE(LEFT(Q497,2))&lt;=23,VALUE(RIGHT(Q497,2))&lt;=59))</formula1>
    </dataValidation>
    <dataValidation type="custom" showErrorMessage="1" errorStyle="stop" errorTitle="Invalid Time" error="Enter time as HH:MM (e.g. 09:30) or leave blank" sqref="Q498">
      <formula1>OR(Q498="",AND(LEN(Q498)=5,MID(Q498,3,1)=":",ISNUMBER(VALUE(LEFT(Q498,2))),ISNUMBER(VALUE(RIGHT(Q498,2))),VALUE(LEFT(Q498,2))&lt;=23,VALUE(RIGHT(Q498,2))&lt;=59))</formula1>
    </dataValidation>
    <dataValidation type="custom" showErrorMessage="1" errorStyle="stop" errorTitle="Invalid Time" error="Enter time as HH:MM (e.g. 09:30) or leave blank" sqref="Q499">
      <formula1>OR(Q499="",AND(LEN(Q499)=5,MID(Q499,3,1)=":",ISNUMBER(VALUE(LEFT(Q499,2))),ISNUMBER(VALUE(RIGHT(Q499,2))),VALUE(LEFT(Q499,2))&lt;=23,VALUE(RIGHT(Q499,2))&lt;=59))</formula1>
    </dataValidation>
    <dataValidation type="custom" showErrorMessage="1" errorStyle="stop" errorTitle="Invalid Time" error="Enter time as HH:MM (e.g. 09:30) or leave blank" sqref="Q5">
      <formula1>OR(Q5="",AND(LEN(Q5)=5,MID(Q5,3,1)=":",ISNUMBER(VALUE(LEFT(Q5,2))),ISNUMBER(VALUE(RIGHT(Q5,2))),VALUE(LEFT(Q5,2))&lt;=23,VALUE(RIGHT(Q5,2))&lt;=59))</formula1>
    </dataValidation>
    <dataValidation type="custom" showErrorMessage="1" errorStyle="stop" errorTitle="Invalid Time" error="Enter time as HH:MM (e.g. 09:30) or leave blank" sqref="Q50">
      <formula1>OR(Q50="",AND(LEN(Q50)=5,MID(Q50,3,1)=":",ISNUMBER(VALUE(LEFT(Q50,2))),ISNUMBER(VALUE(RIGHT(Q50,2))),VALUE(LEFT(Q50,2))&lt;=23,VALUE(RIGHT(Q50,2))&lt;=59))</formula1>
    </dataValidation>
    <dataValidation type="custom" showErrorMessage="1" errorStyle="stop" errorTitle="Invalid Time" error="Enter time as HH:MM (e.g. 09:30) or leave blank" sqref="Q500">
      <formula1>OR(Q500="",AND(LEN(Q500)=5,MID(Q500,3,1)=":",ISNUMBER(VALUE(LEFT(Q500,2))),ISNUMBER(VALUE(RIGHT(Q500,2))),VALUE(LEFT(Q500,2))&lt;=23,VALUE(RIGHT(Q500,2))&lt;=59))</formula1>
    </dataValidation>
    <dataValidation type="custom" showErrorMessage="1" errorStyle="stop" errorTitle="Invalid Time" error="Enter time as HH:MM (e.g. 09:30) or leave blank" sqref="Q501">
      <formula1>OR(Q501="",AND(LEN(Q501)=5,MID(Q501,3,1)=":",ISNUMBER(VALUE(LEFT(Q501,2))),ISNUMBER(VALUE(RIGHT(Q501,2))),VALUE(LEFT(Q501,2))&lt;=23,VALUE(RIGHT(Q501,2))&lt;=59))</formula1>
    </dataValidation>
    <dataValidation type="custom" showErrorMessage="1" errorStyle="stop" errorTitle="Invalid Time" error="Enter time as HH:MM (e.g. 09:30) or leave blank" sqref="Q502">
      <formula1>OR(Q502="",AND(LEN(Q502)=5,MID(Q502,3,1)=":",ISNUMBER(VALUE(LEFT(Q502,2))),ISNUMBER(VALUE(RIGHT(Q502,2))),VALUE(LEFT(Q502,2))&lt;=23,VALUE(RIGHT(Q502,2))&lt;=59))</formula1>
    </dataValidation>
    <dataValidation type="custom" showErrorMessage="1" errorStyle="stop" errorTitle="Invalid Time" error="Enter time as HH:MM (e.g. 09:30) or leave blank" sqref="Q51">
      <formula1>OR(Q51="",AND(LEN(Q51)=5,MID(Q51,3,1)=":",ISNUMBER(VALUE(LEFT(Q51,2))),ISNUMBER(VALUE(RIGHT(Q51,2))),VALUE(LEFT(Q51,2))&lt;=23,VALUE(RIGHT(Q51,2))&lt;=59))</formula1>
    </dataValidation>
    <dataValidation type="custom" showErrorMessage="1" errorStyle="stop" errorTitle="Invalid Time" error="Enter time as HH:MM (e.g. 09:30) or leave blank" sqref="Q52">
      <formula1>OR(Q52="",AND(LEN(Q52)=5,MID(Q52,3,1)=":",ISNUMBER(VALUE(LEFT(Q52,2))),ISNUMBER(VALUE(RIGHT(Q52,2))),VALUE(LEFT(Q52,2))&lt;=23,VALUE(RIGHT(Q52,2))&lt;=59))</formula1>
    </dataValidation>
    <dataValidation type="custom" showErrorMessage="1" errorStyle="stop" errorTitle="Invalid Time" error="Enter time as HH:MM (e.g. 09:30) or leave blank" sqref="Q53">
      <formula1>OR(Q53="",AND(LEN(Q53)=5,MID(Q53,3,1)=":",ISNUMBER(VALUE(LEFT(Q53,2))),ISNUMBER(VALUE(RIGHT(Q53,2))),VALUE(LEFT(Q53,2))&lt;=23,VALUE(RIGHT(Q53,2))&lt;=59))</formula1>
    </dataValidation>
    <dataValidation type="custom" showErrorMessage="1" errorStyle="stop" errorTitle="Invalid Time" error="Enter time as HH:MM (e.g. 09:30) or leave blank" sqref="Q54">
      <formula1>OR(Q54="",AND(LEN(Q54)=5,MID(Q54,3,1)=":",ISNUMBER(VALUE(LEFT(Q54,2))),ISNUMBER(VALUE(RIGHT(Q54,2))),VALUE(LEFT(Q54,2))&lt;=23,VALUE(RIGHT(Q54,2))&lt;=59))</formula1>
    </dataValidation>
    <dataValidation type="custom" showErrorMessage="1" errorStyle="stop" errorTitle="Invalid Time" error="Enter time as HH:MM (e.g. 09:30) or leave blank" sqref="Q55">
      <formula1>OR(Q55="",AND(LEN(Q55)=5,MID(Q55,3,1)=":",ISNUMBER(VALUE(LEFT(Q55,2))),ISNUMBER(VALUE(RIGHT(Q55,2))),VALUE(LEFT(Q55,2))&lt;=23,VALUE(RIGHT(Q55,2))&lt;=59))</formula1>
    </dataValidation>
    <dataValidation type="custom" showErrorMessage="1" errorStyle="stop" errorTitle="Invalid Time" error="Enter time as HH:MM (e.g. 09:30) or leave blank" sqref="Q56">
      <formula1>OR(Q56="",AND(LEN(Q56)=5,MID(Q56,3,1)=":",ISNUMBER(VALUE(LEFT(Q56,2))),ISNUMBER(VALUE(RIGHT(Q56,2))),VALUE(LEFT(Q56,2))&lt;=23,VALUE(RIGHT(Q56,2))&lt;=59))</formula1>
    </dataValidation>
    <dataValidation type="custom" showErrorMessage="1" errorStyle="stop" errorTitle="Invalid Time" error="Enter time as HH:MM (e.g. 09:30) or leave blank" sqref="Q57">
      <formula1>OR(Q57="",AND(LEN(Q57)=5,MID(Q57,3,1)=":",ISNUMBER(VALUE(LEFT(Q57,2))),ISNUMBER(VALUE(RIGHT(Q57,2))),VALUE(LEFT(Q57,2))&lt;=23,VALUE(RIGHT(Q57,2))&lt;=59))</formula1>
    </dataValidation>
    <dataValidation type="custom" showErrorMessage="1" errorStyle="stop" errorTitle="Invalid Time" error="Enter time as HH:MM (e.g. 09:30) or leave blank" sqref="Q58">
      <formula1>OR(Q58="",AND(LEN(Q58)=5,MID(Q58,3,1)=":",ISNUMBER(VALUE(LEFT(Q58,2))),ISNUMBER(VALUE(RIGHT(Q58,2))),VALUE(LEFT(Q58,2))&lt;=23,VALUE(RIGHT(Q58,2))&lt;=59))</formula1>
    </dataValidation>
    <dataValidation type="custom" showErrorMessage="1" errorStyle="stop" errorTitle="Invalid Time" error="Enter time as HH:MM (e.g. 09:30) or leave blank" sqref="Q59">
      <formula1>OR(Q59="",AND(LEN(Q59)=5,MID(Q59,3,1)=":",ISNUMBER(VALUE(LEFT(Q59,2))),ISNUMBER(VALUE(RIGHT(Q59,2))),VALUE(LEFT(Q59,2))&lt;=23,VALUE(RIGHT(Q59,2))&lt;=59))</formula1>
    </dataValidation>
    <dataValidation type="custom" showErrorMessage="1" errorStyle="stop" errorTitle="Invalid Time" error="Enter time as HH:MM (e.g. 09:30) or leave blank" sqref="Q6">
      <formula1>OR(Q6="",AND(LEN(Q6)=5,MID(Q6,3,1)=":",ISNUMBER(VALUE(LEFT(Q6,2))),ISNUMBER(VALUE(RIGHT(Q6,2))),VALUE(LEFT(Q6,2))&lt;=23,VALUE(RIGHT(Q6,2))&lt;=59))</formula1>
    </dataValidation>
    <dataValidation type="custom" showErrorMessage="1" errorStyle="stop" errorTitle="Invalid Time" error="Enter time as HH:MM (e.g. 09:30) or leave blank" sqref="Q60">
      <formula1>OR(Q60="",AND(LEN(Q60)=5,MID(Q60,3,1)=":",ISNUMBER(VALUE(LEFT(Q60,2))),ISNUMBER(VALUE(RIGHT(Q60,2))),VALUE(LEFT(Q60,2))&lt;=23,VALUE(RIGHT(Q60,2))&lt;=59))</formula1>
    </dataValidation>
    <dataValidation type="custom" showErrorMessage="1" errorStyle="stop" errorTitle="Invalid Time" error="Enter time as HH:MM (e.g. 09:30) or leave blank" sqref="Q61">
      <formula1>OR(Q61="",AND(LEN(Q61)=5,MID(Q61,3,1)=":",ISNUMBER(VALUE(LEFT(Q61,2))),ISNUMBER(VALUE(RIGHT(Q61,2))),VALUE(LEFT(Q61,2))&lt;=23,VALUE(RIGHT(Q61,2))&lt;=59))</formula1>
    </dataValidation>
    <dataValidation type="custom" showErrorMessage="1" errorStyle="stop" errorTitle="Invalid Time" error="Enter time as HH:MM (e.g. 09:30) or leave blank" sqref="Q62">
      <formula1>OR(Q62="",AND(LEN(Q62)=5,MID(Q62,3,1)=":",ISNUMBER(VALUE(LEFT(Q62,2))),ISNUMBER(VALUE(RIGHT(Q62,2))),VALUE(LEFT(Q62,2))&lt;=23,VALUE(RIGHT(Q62,2))&lt;=59))</formula1>
    </dataValidation>
    <dataValidation type="custom" showErrorMessage="1" errorStyle="stop" errorTitle="Invalid Time" error="Enter time as HH:MM (e.g. 09:30) or leave blank" sqref="Q63">
      <formula1>OR(Q63="",AND(LEN(Q63)=5,MID(Q63,3,1)=":",ISNUMBER(VALUE(LEFT(Q63,2))),ISNUMBER(VALUE(RIGHT(Q63,2))),VALUE(LEFT(Q63,2))&lt;=23,VALUE(RIGHT(Q63,2))&lt;=59))</formula1>
    </dataValidation>
    <dataValidation type="custom" showErrorMessage="1" errorStyle="stop" errorTitle="Invalid Time" error="Enter time as HH:MM (e.g. 09:30) or leave blank" sqref="Q64">
      <formula1>OR(Q64="",AND(LEN(Q64)=5,MID(Q64,3,1)=":",ISNUMBER(VALUE(LEFT(Q64,2))),ISNUMBER(VALUE(RIGHT(Q64,2))),VALUE(LEFT(Q64,2))&lt;=23,VALUE(RIGHT(Q64,2))&lt;=59))</formula1>
    </dataValidation>
    <dataValidation type="custom" showErrorMessage="1" errorStyle="stop" errorTitle="Invalid Time" error="Enter time as HH:MM (e.g. 09:30) or leave blank" sqref="Q65">
      <formula1>OR(Q65="",AND(LEN(Q65)=5,MID(Q65,3,1)=":",ISNUMBER(VALUE(LEFT(Q65,2))),ISNUMBER(VALUE(RIGHT(Q65,2))),VALUE(LEFT(Q65,2))&lt;=23,VALUE(RIGHT(Q65,2))&lt;=59))</formula1>
    </dataValidation>
    <dataValidation type="custom" showErrorMessage="1" errorStyle="stop" errorTitle="Invalid Time" error="Enter time as HH:MM (e.g. 09:30) or leave blank" sqref="Q66">
      <formula1>OR(Q66="",AND(LEN(Q66)=5,MID(Q66,3,1)=":",ISNUMBER(VALUE(LEFT(Q66,2))),ISNUMBER(VALUE(RIGHT(Q66,2))),VALUE(LEFT(Q66,2))&lt;=23,VALUE(RIGHT(Q66,2))&lt;=59))</formula1>
    </dataValidation>
    <dataValidation type="custom" showErrorMessage="1" errorStyle="stop" errorTitle="Invalid Time" error="Enter time as HH:MM (e.g. 09:30) or leave blank" sqref="Q67">
      <formula1>OR(Q67="",AND(LEN(Q67)=5,MID(Q67,3,1)=":",ISNUMBER(VALUE(LEFT(Q67,2))),ISNUMBER(VALUE(RIGHT(Q67,2))),VALUE(LEFT(Q67,2))&lt;=23,VALUE(RIGHT(Q67,2))&lt;=59))</formula1>
    </dataValidation>
    <dataValidation type="custom" showErrorMessage="1" errorStyle="stop" errorTitle="Invalid Time" error="Enter time as HH:MM (e.g. 09:30) or leave blank" sqref="Q68">
      <formula1>OR(Q68="",AND(LEN(Q68)=5,MID(Q68,3,1)=":",ISNUMBER(VALUE(LEFT(Q68,2))),ISNUMBER(VALUE(RIGHT(Q68,2))),VALUE(LEFT(Q68,2))&lt;=23,VALUE(RIGHT(Q68,2))&lt;=59))</formula1>
    </dataValidation>
    <dataValidation type="custom" showErrorMessage="1" errorStyle="stop" errorTitle="Invalid Time" error="Enter time as HH:MM (e.g. 09:30) or leave blank" sqref="Q69">
      <formula1>OR(Q69="",AND(LEN(Q69)=5,MID(Q69,3,1)=":",ISNUMBER(VALUE(LEFT(Q69,2))),ISNUMBER(VALUE(RIGHT(Q69,2))),VALUE(LEFT(Q69,2))&lt;=23,VALUE(RIGHT(Q69,2))&lt;=59))</formula1>
    </dataValidation>
    <dataValidation type="custom" showErrorMessage="1" errorStyle="stop" errorTitle="Invalid Time" error="Enter time as HH:MM (e.g. 09:30) or leave blank" sqref="Q7">
      <formula1>OR(Q7="",AND(LEN(Q7)=5,MID(Q7,3,1)=":",ISNUMBER(VALUE(LEFT(Q7,2))),ISNUMBER(VALUE(RIGHT(Q7,2))),VALUE(LEFT(Q7,2))&lt;=23,VALUE(RIGHT(Q7,2))&lt;=59))</formula1>
    </dataValidation>
    <dataValidation type="custom" showErrorMessage="1" errorStyle="stop" errorTitle="Invalid Time" error="Enter time as HH:MM (e.g. 09:30) or leave blank" sqref="Q70">
      <formula1>OR(Q70="",AND(LEN(Q70)=5,MID(Q70,3,1)=":",ISNUMBER(VALUE(LEFT(Q70,2))),ISNUMBER(VALUE(RIGHT(Q70,2))),VALUE(LEFT(Q70,2))&lt;=23,VALUE(RIGHT(Q70,2))&lt;=59))</formula1>
    </dataValidation>
    <dataValidation type="custom" showErrorMessage="1" errorStyle="stop" errorTitle="Invalid Time" error="Enter time as HH:MM (e.g. 09:30) or leave blank" sqref="Q71">
      <formula1>OR(Q71="",AND(LEN(Q71)=5,MID(Q71,3,1)=":",ISNUMBER(VALUE(LEFT(Q71,2))),ISNUMBER(VALUE(RIGHT(Q71,2))),VALUE(LEFT(Q71,2))&lt;=23,VALUE(RIGHT(Q71,2))&lt;=59))</formula1>
    </dataValidation>
    <dataValidation type="custom" showErrorMessage="1" errorStyle="stop" errorTitle="Invalid Time" error="Enter time as HH:MM (e.g. 09:30) or leave blank" sqref="Q72">
      <formula1>OR(Q72="",AND(LEN(Q72)=5,MID(Q72,3,1)=":",ISNUMBER(VALUE(LEFT(Q72,2))),ISNUMBER(VALUE(RIGHT(Q72,2))),VALUE(LEFT(Q72,2))&lt;=23,VALUE(RIGHT(Q72,2))&lt;=59))</formula1>
    </dataValidation>
    <dataValidation type="custom" showErrorMessage="1" errorStyle="stop" errorTitle="Invalid Time" error="Enter time as HH:MM (e.g. 09:30) or leave blank" sqref="Q73">
      <formula1>OR(Q73="",AND(LEN(Q73)=5,MID(Q73,3,1)=":",ISNUMBER(VALUE(LEFT(Q73,2))),ISNUMBER(VALUE(RIGHT(Q73,2))),VALUE(LEFT(Q73,2))&lt;=23,VALUE(RIGHT(Q73,2))&lt;=59))</formula1>
    </dataValidation>
    <dataValidation type="custom" showErrorMessage="1" errorStyle="stop" errorTitle="Invalid Time" error="Enter time as HH:MM (e.g. 09:30) or leave blank" sqref="Q74">
      <formula1>OR(Q74="",AND(LEN(Q74)=5,MID(Q74,3,1)=":",ISNUMBER(VALUE(LEFT(Q74,2))),ISNUMBER(VALUE(RIGHT(Q74,2))),VALUE(LEFT(Q74,2))&lt;=23,VALUE(RIGHT(Q74,2))&lt;=59))</formula1>
    </dataValidation>
    <dataValidation type="custom" showErrorMessage="1" errorStyle="stop" errorTitle="Invalid Time" error="Enter time as HH:MM (e.g. 09:30) or leave blank" sqref="Q75">
      <formula1>OR(Q75="",AND(LEN(Q75)=5,MID(Q75,3,1)=":",ISNUMBER(VALUE(LEFT(Q75,2))),ISNUMBER(VALUE(RIGHT(Q75,2))),VALUE(LEFT(Q75,2))&lt;=23,VALUE(RIGHT(Q75,2))&lt;=59))</formula1>
    </dataValidation>
    <dataValidation type="custom" showErrorMessage="1" errorStyle="stop" errorTitle="Invalid Time" error="Enter time as HH:MM (e.g. 09:30) or leave blank" sqref="Q76">
      <formula1>OR(Q76="",AND(LEN(Q76)=5,MID(Q76,3,1)=":",ISNUMBER(VALUE(LEFT(Q76,2))),ISNUMBER(VALUE(RIGHT(Q76,2))),VALUE(LEFT(Q76,2))&lt;=23,VALUE(RIGHT(Q76,2))&lt;=59))</formula1>
    </dataValidation>
    <dataValidation type="custom" showErrorMessage="1" errorStyle="stop" errorTitle="Invalid Time" error="Enter time as HH:MM (e.g. 09:30) or leave blank" sqref="Q77">
      <formula1>OR(Q77="",AND(LEN(Q77)=5,MID(Q77,3,1)=":",ISNUMBER(VALUE(LEFT(Q77,2))),ISNUMBER(VALUE(RIGHT(Q77,2))),VALUE(LEFT(Q77,2))&lt;=23,VALUE(RIGHT(Q77,2))&lt;=59))</formula1>
    </dataValidation>
    <dataValidation type="custom" showErrorMessage="1" errorStyle="stop" errorTitle="Invalid Time" error="Enter time as HH:MM (e.g. 09:30) or leave blank" sqref="Q78">
      <formula1>OR(Q78="",AND(LEN(Q78)=5,MID(Q78,3,1)=":",ISNUMBER(VALUE(LEFT(Q78,2))),ISNUMBER(VALUE(RIGHT(Q78,2))),VALUE(LEFT(Q78,2))&lt;=23,VALUE(RIGHT(Q78,2))&lt;=59))</formula1>
    </dataValidation>
    <dataValidation type="custom" showErrorMessage="1" errorStyle="stop" errorTitle="Invalid Time" error="Enter time as HH:MM (e.g. 09:30) or leave blank" sqref="Q79">
      <formula1>OR(Q79="",AND(LEN(Q79)=5,MID(Q79,3,1)=":",ISNUMBER(VALUE(LEFT(Q79,2))),ISNUMBER(VALUE(RIGHT(Q79,2))),VALUE(LEFT(Q79,2))&lt;=23,VALUE(RIGHT(Q79,2))&lt;=59))</formula1>
    </dataValidation>
    <dataValidation type="custom" showErrorMessage="1" errorStyle="stop" errorTitle="Invalid Time" error="Enter time as HH:MM (e.g. 09:30) or leave blank" sqref="Q8">
      <formula1>OR(Q8="",AND(LEN(Q8)=5,MID(Q8,3,1)=":",ISNUMBER(VALUE(LEFT(Q8,2))),ISNUMBER(VALUE(RIGHT(Q8,2))),VALUE(LEFT(Q8,2))&lt;=23,VALUE(RIGHT(Q8,2))&lt;=59))</formula1>
    </dataValidation>
    <dataValidation type="custom" showErrorMessage="1" errorStyle="stop" errorTitle="Invalid Time" error="Enter time as HH:MM (e.g. 09:30) or leave blank" sqref="Q80">
      <formula1>OR(Q80="",AND(LEN(Q80)=5,MID(Q80,3,1)=":",ISNUMBER(VALUE(LEFT(Q80,2))),ISNUMBER(VALUE(RIGHT(Q80,2))),VALUE(LEFT(Q80,2))&lt;=23,VALUE(RIGHT(Q80,2))&lt;=59))</formula1>
    </dataValidation>
    <dataValidation type="custom" showErrorMessage="1" errorStyle="stop" errorTitle="Invalid Time" error="Enter time as HH:MM (e.g. 09:30) or leave blank" sqref="Q81">
      <formula1>OR(Q81="",AND(LEN(Q81)=5,MID(Q81,3,1)=":",ISNUMBER(VALUE(LEFT(Q81,2))),ISNUMBER(VALUE(RIGHT(Q81,2))),VALUE(LEFT(Q81,2))&lt;=23,VALUE(RIGHT(Q81,2))&lt;=59))</formula1>
    </dataValidation>
    <dataValidation type="custom" showErrorMessage="1" errorStyle="stop" errorTitle="Invalid Time" error="Enter time as HH:MM (e.g. 09:30) or leave blank" sqref="Q82">
      <formula1>OR(Q82="",AND(LEN(Q82)=5,MID(Q82,3,1)=":",ISNUMBER(VALUE(LEFT(Q82,2))),ISNUMBER(VALUE(RIGHT(Q82,2))),VALUE(LEFT(Q82,2))&lt;=23,VALUE(RIGHT(Q82,2))&lt;=59))</formula1>
    </dataValidation>
    <dataValidation type="custom" showErrorMessage="1" errorStyle="stop" errorTitle="Invalid Time" error="Enter time as HH:MM (e.g. 09:30) or leave blank" sqref="Q83">
      <formula1>OR(Q83="",AND(LEN(Q83)=5,MID(Q83,3,1)=":",ISNUMBER(VALUE(LEFT(Q83,2))),ISNUMBER(VALUE(RIGHT(Q83,2))),VALUE(LEFT(Q83,2))&lt;=23,VALUE(RIGHT(Q83,2))&lt;=59))</formula1>
    </dataValidation>
    <dataValidation type="custom" showErrorMessage="1" errorStyle="stop" errorTitle="Invalid Time" error="Enter time as HH:MM (e.g. 09:30) or leave blank" sqref="Q84">
      <formula1>OR(Q84="",AND(LEN(Q84)=5,MID(Q84,3,1)=":",ISNUMBER(VALUE(LEFT(Q84,2))),ISNUMBER(VALUE(RIGHT(Q84,2))),VALUE(LEFT(Q84,2))&lt;=23,VALUE(RIGHT(Q84,2))&lt;=59))</formula1>
    </dataValidation>
    <dataValidation type="custom" showErrorMessage="1" errorStyle="stop" errorTitle="Invalid Time" error="Enter time as HH:MM (e.g. 09:30) or leave blank" sqref="Q85">
      <formula1>OR(Q85="",AND(LEN(Q85)=5,MID(Q85,3,1)=":",ISNUMBER(VALUE(LEFT(Q85,2))),ISNUMBER(VALUE(RIGHT(Q85,2))),VALUE(LEFT(Q85,2))&lt;=23,VALUE(RIGHT(Q85,2))&lt;=59))</formula1>
    </dataValidation>
    <dataValidation type="custom" showErrorMessage="1" errorStyle="stop" errorTitle="Invalid Time" error="Enter time as HH:MM (e.g. 09:30) or leave blank" sqref="Q86">
      <formula1>OR(Q86="",AND(LEN(Q86)=5,MID(Q86,3,1)=":",ISNUMBER(VALUE(LEFT(Q86,2))),ISNUMBER(VALUE(RIGHT(Q86,2))),VALUE(LEFT(Q86,2))&lt;=23,VALUE(RIGHT(Q86,2))&lt;=59))</formula1>
    </dataValidation>
    <dataValidation type="custom" showErrorMessage="1" errorStyle="stop" errorTitle="Invalid Time" error="Enter time as HH:MM (e.g. 09:30) or leave blank" sqref="Q87">
      <formula1>OR(Q87="",AND(LEN(Q87)=5,MID(Q87,3,1)=":",ISNUMBER(VALUE(LEFT(Q87,2))),ISNUMBER(VALUE(RIGHT(Q87,2))),VALUE(LEFT(Q87,2))&lt;=23,VALUE(RIGHT(Q87,2))&lt;=59))</formula1>
    </dataValidation>
    <dataValidation type="custom" showErrorMessage="1" errorStyle="stop" errorTitle="Invalid Time" error="Enter time as HH:MM (e.g. 09:30) or leave blank" sqref="Q88">
      <formula1>OR(Q88="",AND(LEN(Q88)=5,MID(Q88,3,1)=":",ISNUMBER(VALUE(LEFT(Q88,2))),ISNUMBER(VALUE(RIGHT(Q88,2))),VALUE(LEFT(Q88,2))&lt;=23,VALUE(RIGHT(Q88,2))&lt;=59))</formula1>
    </dataValidation>
    <dataValidation type="custom" showErrorMessage="1" errorStyle="stop" errorTitle="Invalid Time" error="Enter time as HH:MM (e.g. 09:30) or leave blank" sqref="Q89">
      <formula1>OR(Q89="",AND(LEN(Q89)=5,MID(Q89,3,1)=":",ISNUMBER(VALUE(LEFT(Q89,2))),ISNUMBER(VALUE(RIGHT(Q89,2))),VALUE(LEFT(Q89,2))&lt;=23,VALUE(RIGHT(Q89,2))&lt;=59))</formula1>
    </dataValidation>
    <dataValidation type="custom" showErrorMessage="1" errorStyle="stop" errorTitle="Invalid Time" error="Enter time as HH:MM (e.g. 09:30) or leave blank" sqref="Q9">
      <formula1>OR(Q9="",AND(LEN(Q9)=5,MID(Q9,3,1)=":",ISNUMBER(VALUE(LEFT(Q9,2))),ISNUMBER(VALUE(RIGHT(Q9,2))),VALUE(LEFT(Q9,2))&lt;=23,VALUE(RIGHT(Q9,2))&lt;=59))</formula1>
    </dataValidation>
    <dataValidation type="custom" showErrorMessage="1" errorStyle="stop" errorTitle="Invalid Time" error="Enter time as HH:MM (e.g. 09:30) or leave blank" sqref="Q90">
      <formula1>OR(Q90="",AND(LEN(Q90)=5,MID(Q90,3,1)=":",ISNUMBER(VALUE(LEFT(Q90,2))),ISNUMBER(VALUE(RIGHT(Q90,2))),VALUE(LEFT(Q90,2))&lt;=23,VALUE(RIGHT(Q90,2))&lt;=59))</formula1>
    </dataValidation>
    <dataValidation type="custom" showErrorMessage="1" errorStyle="stop" errorTitle="Invalid Time" error="Enter time as HH:MM (e.g. 09:30) or leave blank" sqref="Q91">
      <formula1>OR(Q91="",AND(LEN(Q91)=5,MID(Q91,3,1)=":",ISNUMBER(VALUE(LEFT(Q91,2))),ISNUMBER(VALUE(RIGHT(Q91,2))),VALUE(LEFT(Q91,2))&lt;=23,VALUE(RIGHT(Q91,2))&lt;=59))</formula1>
    </dataValidation>
    <dataValidation type="custom" showErrorMessage="1" errorStyle="stop" errorTitle="Invalid Time" error="Enter time as HH:MM (e.g. 09:30) or leave blank" sqref="Q92">
      <formula1>OR(Q92="",AND(LEN(Q92)=5,MID(Q92,3,1)=":",ISNUMBER(VALUE(LEFT(Q92,2))),ISNUMBER(VALUE(RIGHT(Q92,2))),VALUE(LEFT(Q92,2))&lt;=23,VALUE(RIGHT(Q92,2))&lt;=59))</formula1>
    </dataValidation>
    <dataValidation type="custom" showErrorMessage="1" errorStyle="stop" errorTitle="Invalid Time" error="Enter time as HH:MM (e.g. 09:30) or leave blank" sqref="Q93">
      <formula1>OR(Q93="",AND(LEN(Q93)=5,MID(Q93,3,1)=":",ISNUMBER(VALUE(LEFT(Q93,2))),ISNUMBER(VALUE(RIGHT(Q93,2))),VALUE(LEFT(Q93,2))&lt;=23,VALUE(RIGHT(Q93,2))&lt;=59))</formula1>
    </dataValidation>
    <dataValidation type="custom" showErrorMessage="1" errorStyle="stop" errorTitle="Invalid Time" error="Enter time as HH:MM (e.g. 09:30) or leave blank" sqref="Q94">
      <formula1>OR(Q94="",AND(LEN(Q94)=5,MID(Q94,3,1)=":",ISNUMBER(VALUE(LEFT(Q94,2))),ISNUMBER(VALUE(RIGHT(Q94,2))),VALUE(LEFT(Q94,2))&lt;=23,VALUE(RIGHT(Q94,2))&lt;=59))</formula1>
    </dataValidation>
    <dataValidation type="custom" showErrorMessage="1" errorStyle="stop" errorTitle="Invalid Time" error="Enter time as HH:MM (e.g. 09:30) or leave blank" sqref="Q95">
      <formula1>OR(Q95="",AND(LEN(Q95)=5,MID(Q95,3,1)=":",ISNUMBER(VALUE(LEFT(Q95,2))),ISNUMBER(VALUE(RIGHT(Q95,2))),VALUE(LEFT(Q95,2))&lt;=23,VALUE(RIGHT(Q95,2))&lt;=59))</formula1>
    </dataValidation>
    <dataValidation type="custom" showErrorMessage="1" errorStyle="stop" errorTitle="Invalid Time" error="Enter time as HH:MM (e.g. 09:30) or leave blank" sqref="Q96">
      <formula1>OR(Q96="",AND(LEN(Q96)=5,MID(Q96,3,1)=":",ISNUMBER(VALUE(LEFT(Q96,2))),ISNUMBER(VALUE(RIGHT(Q96,2))),VALUE(LEFT(Q96,2))&lt;=23,VALUE(RIGHT(Q96,2))&lt;=59))</formula1>
    </dataValidation>
    <dataValidation type="custom" showErrorMessage="1" errorStyle="stop" errorTitle="Invalid Time" error="Enter time as HH:MM (e.g. 09:30) or leave blank" sqref="Q97">
      <formula1>OR(Q97="",AND(LEN(Q97)=5,MID(Q97,3,1)=":",ISNUMBER(VALUE(LEFT(Q97,2))),ISNUMBER(VALUE(RIGHT(Q97,2))),VALUE(LEFT(Q97,2))&lt;=23,VALUE(RIGHT(Q97,2))&lt;=59))</formula1>
    </dataValidation>
    <dataValidation type="custom" showErrorMessage="1" errorStyle="stop" errorTitle="Invalid Time" error="Enter time as HH:MM (e.g. 09:30) or leave blank" sqref="Q98">
      <formula1>OR(Q98="",AND(LEN(Q98)=5,MID(Q98,3,1)=":",ISNUMBER(VALUE(LEFT(Q98,2))),ISNUMBER(VALUE(RIGHT(Q98,2))),VALUE(LEFT(Q98,2))&lt;=23,VALUE(RIGHT(Q98,2))&lt;=59))</formula1>
    </dataValidation>
    <dataValidation type="custom" showErrorMessage="1" errorStyle="stop" errorTitle="Invalid Time" error="Enter time as HH:MM (e.g. 09:30) or leave blank" sqref="Q99">
      <formula1>OR(Q99="",AND(LEN(Q99)=5,MID(Q99,3,1)=":",ISNUMBER(VALUE(LEFT(Q99,2))),ISNUMBER(VALUE(RIGHT(Q99,2))),VALUE(LEFT(Q99,2))&lt;=23,VALUE(RIGHT(Q99,2))&lt;=59))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 to use</vt:lpstr>
      <vt:lpstr>CARTON_LOOKUP</vt:lpstr>
      <vt:lpstr>LISTS_LOOKUP</vt:lpstr>
      <vt:lpstr>PO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CarrierBookingStub</dc:creator>
  <dc:title/>
  <dc:subject/>
  <dc:description/>
  <cp:keywords/>
  <cp:category/>
  <cp:lastModifiedBy>Unknown</cp:lastModifiedBy>
  <dcterms:created xsi:type="dcterms:W3CDTF">2026-09-18T11:14:09Z</dcterms:created>
  <dcterms:modified xsi:type="dcterms:W3CDTF">2026-09-18T11:14:09Z</dcterms:modified>
</cp:coreProperties>
</file>