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</sheets>
  <calcPr calcId="171027"/>
</workbook>
</file>

<file path=xl/sharedStrings.xml><?xml version="1.0" encoding="utf-8"?>
<sst xmlns="http://schemas.openxmlformats.org/spreadsheetml/2006/main" count="3108" uniqueCount="104">
  <si>
    <t>📋  Carrier Booking — VBKREQ Simulator  |  Instructions to Use</t>
  </si>
  <si>
    <t>1.  Fill in one row per PO in the PO Header sheet and share the file to the ASOS booking team via email ‘InboundService@asos.com’.</t>
  </si>
  <si>
    <t/>
  </si>
  <si>
    <t>2.  MANDATORY fields (pink/red columns) — must be filled for every PO row:</t>
  </si>
  <si>
    <t xml:space="preserve">       •  PO_Number</t>
  </si>
  <si>
    <t xml:space="preserve">       •  Cargo_Ready_Planned_Collection_Date   (DD/MM/YYYY)</t>
  </si>
  <si>
    <t xml:space="preserve">       •  Carrier_Booking_Request_Date            (DD/MM/YYYY)</t>
  </si>
  <si>
    <t xml:space="preserve">       •  Traffic_Mode                            (CFS or CY)</t>
  </si>
  <si>
    <t xml:space="preserve">       •  Booking_Group                           (see rule below)</t>
  </si>
  <si>
    <t xml:space="preserve">       •  Total no. of Cartons of booking    (whole number &gt; 0  |  default: 1)</t>
  </si>
  <si>
    <t xml:space="preserve">       •  Total items weight of booking      (kg per unit  |  default: 0.21)</t>
  </si>
  <si>
    <t xml:space="preserve">       •  Carton_Type                             (select from dropdown  |  default: BDCM1)</t>
  </si>
  <si>
    <t>3.  DEFAULTED fields (green columns) — pre-filled with sensible values; update only if different:</t>
  </si>
  <si>
    <t xml:space="preserve">       •  Pack_Type = Bulk Flat         •  Collection_Type = Delivery         •  Hazardous = N/A</t>
  </si>
  <si>
    <t>4.  AUTO-FILLED fields (blue columns) — calculated from Carton_Type via lookup — do not edit:</t>
  </si>
  <si>
    <t xml:space="preserve">       •  Carton_Length_cm   •  Carton_Width_cm   •  Carton_Height_cm   •  Carton_Weight_KG</t>
  </si>
  <si>
    <t>5.  OPTIONAL fields (grey columns) — leave blank if not applicable:</t>
  </si>
  <si>
    <t xml:space="preserve">       •  Collection_Time (HH:MM)   •  Remarks</t>
  </si>
  <si>
    <t>6.  Booking_Group rules:</t>
  </si>
  <si>
    <t xml:space="preserve">       •  "Single Booking"                        →  one carrier booking request per PO</t>
  </si>
  <si>
    <t xml:space="preserve">       •  "Multiple POs-BK001" … "Multiple POs-BK025"  →  POs sharing the same code are merged into one carrier booking request</t>
  </si>
  <si>
    <t xml:space="preserve">       •  "Multiple"                              →  all POs in the file combined into a single carrier booking request</t>
  </si>
  <si>
    <t>7.  No_of_Cartons / Unit_Weight_KG / Carton_Type drive the booking-level totals (QUR / G / N / VOL) in the carrier Booking request.</t>
  </si>
  <si>
    <t xml:space="preserve">     Factory details and Mode of Transport are sourced automatically from ASOS PO — leave them out of this template.</t>
  </si>
  <si>
    <t>⚠  Do NOT rename, move, or delete column headers in the PO Header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</si>
  <si>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</si>
  <si>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</si>
  <si>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</si>
  <si>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</si>
  <si>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</si>
  <si>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</si>
  <si>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</si>
  <si>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</si>
  <si>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</si>
  <si>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</si>
  <si>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</si>
  <si>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</si>
  <si>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</si>
  <si>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</si>
  <si>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</si>
  <si>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</si>
  <si>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</si>
  <si>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</si>
  <si>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</si>
  <si>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</si>
  <si>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</si>
  <si>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</si>
  <si>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</si>
  <si>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</si>
  <si>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</si>
  <si>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</si>
  <si>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</si>
  <si>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</si>
  <si>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</si>
  <si>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</si>
  <si>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</si>
  <si>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</si>
  <si>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</si>
  <si>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</si>
  <si>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</si>
  <si>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</si>
  <si>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</si>
  <si>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</si>
  <si>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</si>
  <si>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</si>
  <si>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</si>
  <si>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</si>
  <si>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</si>
  <si>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</si>
  <si>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</si>
  <si>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</si>
  <si>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</si>
  <si>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</si>
  <si>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</si>
  <si>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</si>
  <si>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</si>
  <si>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</si>
  <si>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</si>
  <si>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</si>
  <si>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</si>
  <si>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</si>
  <si>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◀  MANDATORY — must be completed  ▶</t>
  </si>
  <si>
    <t>◀  AUTO-FILLED — from Carton_Type lookup  ▶</t>
  </si>
  <si>
    <t>◀  DEFAULTED — pre-filled, editable  ▶</t>
  </si>
  <si>
    <t>◀  OPTIONAL — leave blank if not needed  ▶</t>
  </si>
  <si>
    <t>PO_Number</t>
  </si>
  <si>
    <t>Cargo_Ready_Planned_Collection_Date</t>
  </si>
  <si>
    <t>Carrier_Booking_Request_Date</t>
  </si>
  <si>
    <t>Traffic_Mode</t>
  </si>
  <si>
    <t>Total no. of Cartons of booking</t>
  </si>
  <si>
    <t>Total items weight of booking</t>
  </si>
  <si>
    <t>Carton_Length_cm</t>
  </si>
  <si>
    <t>Carton_Width_cm</t>
  </si>
  <si>
    <t>Carton_Height_cm</t>
  </si>
  <si>
    <t>Carton_Weight_KG</t>
  </si>
  <si>
    <t>Pack_Type</t>
  </si>
  <si>
    <t>Collection_Type</t>
  </si>
  <si>
    <t>Hazardous</t>
  </si>
  <si>
    <t>Collection_Time (HH:MM)</t>
  </si>
  <si>
    <t>Remarks</t>
  </si>
  <si>
    <t>CFS</t>
  </si>
  <si>
    <t>Bulk Flat</t>
  </si>
  <si>
    <t>Delivery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</si>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</sst>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E9F3FB"/>
      </patternFill>
    </fill>
    <fill>
      <patternFill patternType="solid">
        <fgColor rgb="FFFEF3C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</fills>
  <borders count="4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 style="medium">
        <color rgb="FFFFFFFF"/>
      </right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2" fillId="5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left" vertical="center" indent="2"/>
    </xf>
    <xf numFmtId="0" fontId="3" fillId="7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9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2" fillId="10" borderId="0" xfId="0" applyFont="1" applyFill="1" applyAlignment="1">
      <alignment horizontal="left" vertical="center" indent="1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1"/>
    </xf>
    <xf numFmtId="0" fontId="2" fillId="12" borderId="0" xfId="0" applyFont="1" applyFill="1" applyAlignment="1">
      <alignment horizontal="left" vertical="center" indent="1"/>
    </xf>
    <xf numFmtId="49" fontId="0" fillId="0" borderId="0" xfId="0" applyNumberFormat="1"/>
    <xf numFmtId="49" fontId="4" fillId="13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49" fontId="4" fillId="13" borderId="2" xfId="0" applyNumberFormat="1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4" fillId="16" borderId="2" xfId="0" applyFont="1" applyFill="1" applyBorder="1" applyAlignment="1">
      <alignment horizontal="center" vertical="center"/>
    </xf>
    <xf numFmtId="49" fontId="5" fillId="13" borderId="3" xfId="0" applyNumberFormat="1" applyFont="1" applyFill="1" applyBorder="1" applyAlignment="1">
      <alignment horizontal="center" vertical="center" wrapText="1"/>
    </xf>
    <xf numFmtId="0" fontId="5" fillId="13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4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2" fontId="6" fillId="8" borderId="0" xfId="0" applyNumberFormat="1" applyFont="1" applyFill="1" applyProtection="1"/>
    <xf numFmtId="165" fontId="6" fillId="8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31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15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5" t="s">
        <v>5</v>
      </c>
      <c r="B6" s="5"/>
      <c r="C6" s="5"/>
      <c r="D6" s="5"/>
      <c r="E6" s="5"/>
      <c r="F6" s="5"/>
      <c r="G6" s="5"/>
      <c r="H6" s="5"/>
    </row>
    <row r="7" ht="15" customHeight="1" spans="1:8" x14ac:dyDescent="0.25">
      <c r="A7" s="5" t="s">
        <v>6</v>
      </c>
      <c r="B7" s="5"/>
      <c r="C7" s="5"/>
      <c r="D7" s="5"/>
      <c r="E7" s="5"/>
      <c r="F7" s="5"/>
      <c r="G7" s="5"/>
      <c r="H7" s="5"/>
    </row>
    <row r="8" ht="15" customHeight="1" spans="1:8" x14ac:dyDescent="0.25">
      <c r="A8" s="5" t="s">
        <v>7</v>
      </c>
      <c r="B8" s="5"/>
      <c r="C8" s="5"/>
      <c r="D8" s="5"/>
      <c r="E8" s="5"/>
      <c r="F8" s="5"/>
      <c r="G8" s="5"/>
      <c r="H8" s="5"/>
    </row>
    <row r="9" ht="15" customHeight="1" spans="1:8" x14ac:dyDescent="0.25">
      <c r="A9" s="5" t="s">
        <v>8</v>
      </c>
      <c r="B9" s="5"/>
      <c r="C9" s="5"/>
      <c r="D9" s="5"/>
      <c r="E9" s="5"/>
      <c r="F9" s="5"/>
      <c r="G9" s="5"/>
      <c r="H9" s="5"/>
    </row>
    <row r="10" ht="15" customHeight="1" spans="1:8" x14ac:dyDescent="0.25">
      <c r="A10" s="5" t="s">
        <v>9</v>
      </c>
      <c r="B10" s="5"/>
      <c r="C10" s="5"/>
      <c r="D10" s="5"/>
      <c r="E10" s="5"/>
      <c r="F10" s="5"/>
      <c r="G10" s="5"/>
      <c r="H10" s="5"/>
    </row>
    <row r="11" ht="15" customHeight="1" spans="1:8" x14ac:dyDescent="0.25">
      <c r="A11" s="5" t="s">
        <v>10</v>
      </c>
      <c r="B11" s="5"/>
      <c r="C11" s="5"/>
      <c r="D11" s="5"/>
      <c r="E11" s="5"/>
      <c r="F11" s="5"/>
      <c r="G11" s="5"/>
      <c r="H11" s="5"/>
    </row>
    <row r="12" ht="15" customHeight="1" spans="1:8" x14ac:dyDescent="0.25">
      <c r="A12" s="5" t="s">
        <v>11</v>
      </c>
      <c r="B12" s="5"/>
      <c r="C12" s="5"/>
      <c r="D12" s="5"/>
      <c r="E12" s="5"/>
      <c r="F12" s="5"/>
      <c r="G12" s="5"/>
      <c r="H12" s="5"/>
    </row>
    <row r="13" ht="6" customHeight="1" spans="1:8" x14ac:dyDescent="0.25">
      <c r="A13" s="3" t="s">
        <v>2</v>
      </c>
      <c r="B13" s="3"/>
      <c r="C13" s="3"/>
      <c r="D13" s="3"/>
      <c r="E13" s="3"/>
      <c r="F13" s="3"/>
      <c r="G13" s="3"/>
      <c r="H13" s="3"/>
    </row>
    <row r="14" ht="15" customHeight="1" spans="1:8" x14ac:dyDescent="0.25">
      <c r="A14" s="2" t="s">
        <v>12</v>
      </c>
      <c r="B14" s="2"/>
      <c r="C14" s="2"/>
      <c r="D14" s="2"/>
      <c r="E14" s="2"/>
      <c r="F14" s="2"/>
      <c r="G14" s="2"/>
      <c r="H14" s="2"/>
    </row>
    <row r="15" ht="15" customHeight="1" spans="1:8" x14ac:dyDescent="0.25">
      <c r="A15" s="6" t="s">
        <v>13</v>
      </c>
      <c r="B15" s="6"/>
      <c r="C15" s="6"/>
      <c r="D15" s="6"/>
      <c r="E15" s="6"/>
      <c r="F15" s="6"/>
      <c r="G15" s="6"/>
      <c r="H15" s="6"/>
    </row>
    <row r="16" ht="6" customHeight="1" spans="1:8" x14ac:dyDescent="0.25">
      <c r="A16" s="3" t="s">
        <v>2</v>
      </c>
      <c r="B16" s="3"/>
      <c r="C16" s="3"/>
      <c r="D16" s="3"/>
      <c r="E16" s="3"/>
      <c r="F16" s="3"/>
      <c r="G16" s="3"/>
      <c r="H16" s="3"/>
    </row>
    <row r="17" ht="15" customHeight="1" spans="1:8" x14ac:dyDescent="0.25">
      <c r="A17" s="2" t="s">
        <v>14</v>
      </c>
      <c r="B17" s="2"/>
      <c r="C17" s="2"/>
      <c r="D17" s="2"/>
      <c r="E17" s="2"/>
      <c r="F17" s="2"/>
      <c r="G17" s="2"/>
      <c r="H17" s="2"/>
    </row>
    <row r="18" ht="15" customHeight="1" spans="1:8" x14ac:dyDescent="0.25">
      <c r="A18" s="7" t="s">
        <v>15</v>
      </c>
      <c r="B18" s="7"/>
      <c r="C18" s="7"/>
      <c r="D18" s="7"/>
      <c r="E18" s="7"/>
      <c r="F18" s="7"/>
      <c r="G18" s="7"/>
      <c r="H18" s="7"/>
    </row>
    <row r="19" ht="6" customHeight="1" spans="1:8" x14ac:dyDescent="0.25">
      <c r="A19" s="3" t="s">
        <v>2</v>
      </c>
      <c r="B19" s="3"/>
      <c r="C19" s="3"/>
      <c r="D19" s="3"/>
      <c r="E19" s="3"/>
      <c r="F19" s="3"/>
      <c r="G19" s="3"/>
      <c r="H19" s="3"/>
    </row>
    <row r="20" ht="15" customHeight="1" spans="1:8" x14ac:dyDescent="0.25">
      <c r="A20" s="8" t="s">
        <v>16</v>
      </c>
      <c r="B20" s="8"/>
      <c r="C20" s="8"/>
      <c r="D20" s="8"/>
      <c r="E20" s="8"/>
      <c r="F20" s="8"/>
      <c r="G20" s="8"/>
      <c r="H20" s="8"/>
    </row>
    <row r="21" ht="15" customHeight="1" spans="1:8" x14ac:dyDescent="0.25">
      <c r="A21" s="9" t="s">
        <v>17</v>
      </c>
      <c r="B21" s="9"/>
      <c r="C21" s="9"/>
      <c r="D21" s="9"/>
      <c r="E21" s="9"/>
      <c r="F21" s="9"/>
      <c r="G21" s="9"/>
      <c r="H21" s="9"/>
    </row>
    <row r="22" ht="6" customHeight="1" spans="1:8" x14ac:dyDescent="0.25">
      <c r="A22" s="3" t="s">
        <v>2</v>
      </c>
      <c r="B22" s="3"/>
      <c r="C22" s="3"/>
      <c r="D22" s="3"/>
      <c r="E22" s="3"/>
      <c r="F22" s="3"/>
      <c r="G22" s="3"/>
      <c r="H22" s="3"/>
    </row>
    <row r="23" ht="15" customHeight="1" spans="1:8" x14ac:dyDescent="0.25">
      <c r="A23" s="10" t="s">
        <v>18</v>
      </c>
      <c r="B23" s="10"/>
      <c r="C23" s="10"/>
      <c r="D23" s="10"/>
      <c r="E23" s="10"/>
      <c r="F23" s="10"/>
      <c r="G23" s="10"/>
      <c r="H23" s="10"/>
    </row>
    <row r="24" ht="15" customHeight="1" spans="1:8" x14ac:dyDescent="0.25">
      <c r="A24" s="11" t="s">
        <v>19</v>
      </c>
      <c r="B24" s="11"/>
      <c r="C24" s="11"/>
      <c r="D24" s="11"/>
      <c r="E24" s="11"/>
      <c r="F24" s="11"/>
      <c r="G24" s="11"/>
      <c r="H24" s="11"/>
    </row>
    <row r="25" ht="15" customHeight="1" spans="1:8" x14ac:dyDescent="0.25">
      <c r="A25" s="11" t="s">
        <v>20</v>
      </c>
      <c r="B25" s="11"/>
      <c r="C25" s="11"/>
      <c r="D25" s="11"/>
      <c r="E25" s="11"/>
      <c r="F25" s="11"/>
      <c r="G25" s="11"/>
      <c r="H25" s="11"/>
    </row>
    <row r="26" ht="15" customHeight="1" spans="1:8" x14ac:dyDescent="0.25">
      <c r="A26" s="11" t="s">
        <v>21</v>
      </c>
      <c r="B26" s="11"/>
      <c r="C26" s="11"/>
      <c r="D26" s="11"/>
      <c r="E26" s="11"/>
      <c r="F26" s="11"/>
      <c r="G26" s="11"/>
      <c r="H26" s="11"/>
    </row>
    <row r="27" ht="6" customHeight="1" spans="1:8" x14ac:dyDescent="0.25">
      <c r="A27" s="3" t="s">
        <v>2</v>
      </c>
      <c r="B27" s="3"/>
      <c r="C27" s="3"/>
      <c r="D27" s="3"/>
      <c r="E27" s="3"/>
      <c r="F27" s="3"/>
      <c r="G27" s="3"/>
      <c r="H27" s="3"/>
    </row>
    <row r="28" ht="15" customHeight="1" spans="1:8" x14ac:dyDescent="0.25">
      <c r="A28" s="12" t="s">
        <v>22</v>
      </c>
      <c r="B28" s="12"/>
      <c r="C28" s="12"/>
      <c r="D28" s="12"/>
      <c r="E28" s="12"/>
      <c r="F28" s="12"/>
      <c r="G28" s="12"/>
      <c r="H28" s="12"/>
    </row>
    <row r="29" ht="15" customHeight="1" spans="1:8" x14ac:dyDescent="0.25">
      <c r="A29" s="12" t="s">
        <v>23</v>
      </c>
      <c r="B29" s="12"/>
      <c r="C29" s="12"/>
      <c r="D29" s="12"/>
      <c r="E29" s="12"/>
      <c r="F29" s="12"/>
      <c r="G29" s="12"/>
      <c r="H29" s="12"/>
    </row>
    <row r="30" ht="6" customHeight="1" spans="1:8" x14ac:dyDescent="0.25">
      <c r="A30" s="3" t="s">
        <v>2</v>
      </c>
      <c r="B30" s="3"/>
      <c r="C30" s="3"/>
      <c r="D30" s="3"/>
      <c r="E30" s="3"/>
      <c r="F30" s="3"/>
      <c r="G30" s="3"/>
      <c r="H30" s="3"/>
    </row>
    <row r="31" ht="15" customHeight="1" spans="1:8" x14ac:dyDescent="0.25">
      <c r="A31" s="13" t="s">
        <v>24</v>
      </c>
      <c r="B31" s="13"/>
      <c r="C31" s="13"/>
      <c r="D31" s="13"/>
      <c r="E31" s="13"/>
      <c r="F31" s="13"/>
      <c r="G31" s="13"/>
      <c r="H31" s="13"/>
    </row>
  </sheetData>
  <mergeCells count="31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31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32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33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34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35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36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37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38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39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40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41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42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43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44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45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46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47</v>
      </c>
    </row>
    <row r="20" spans="1:5" x14ac:dyDescent="0.25">
      <c r="A20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49</v>
      </c>
    </row>
    <row r="2" spans="1:1" x14ac:dyDescent="0.25">
      <c r="A2" t="s">
        <v>50</v>
      </c>
    </row>
    <row r="3" spans="1:1" x14ac:dyDescent="0.25">
      <c r="A3" t="s">
        <v>51</v>
      </c>
    </row>
    <row r="4" spans="1:1" x14ac:dyDescent="0.25">
      <c r="A4" t="s">
        <v>52</v>
      </c>
    </row>
    <row r="5" spans="1:1" x14ac:dyDescent="0.25">
      <c r="A5" t="s">
        <v>53</v>
      </c>
    </row>
    <row r="6" spans="1:1" x14ac:dyDescent="0.25">
      <c r="A6" t="s">
        <v>54</v>
      </c>
    </row>
    <row r="7" spans="1:1" x14ac:dyDescent="0.25">
      <c r="A7" t="s">
        <v>55</v>
      </c>
    </row>
    <row r="8" spans="1:1" x14ac:dyDescent="0.25">
      <c r="A8" t="s">
        <v>56</v>
      </c>
    </row>
    <row r="9" spans="1:1" x14ac:dyDescent="0.25">
      <c r="A9" t="s">
        <v>57</v>
      </c>
    </row>
    <row r="10" spans="1:1" x14ac:dyDescent="0.25">
      <c r="A10" t="s">
        <v>58</v>
      </c>
    </row>
    <row r="11" spans="1:1" x14ac:dyDescent="0.25">
      <c r="A11" t="s">
        <v>59</v>
      </c>
    </row>
    <row r="12" spans="1:1" x14ac:dyDescent="0.25">
      <c r="A12" t="s">
        <v>60</v>
      </c>
    </row>
    <row r="13" spans="1:1" x14ac:dyDescent="0.25">
      <c r="A13" t="s">
        <v>61</v>
      </c>
    </row>
    <row r="14" spans="1:1" x14ac:dyDescent="0.25">
      <c r="A14" t="s">
        <v>62</v>
      </c>
    </row>
    <row r="15" spans="1:1" x14ac:dyDescent="0.25">
      <c r="A15" t="s">
        <v>63</v>
      </c>
    </row>
    <row r="16" spans="1:1" x14ac:dyDescent="0.25">
      <c r="A16" t="s">
        <v>64</v>
      </c>
    </row>
    <row r="17" spans="1:1" x14ac:dyDescent="0.25">
      <c r="A17" t="s">
        <v>65</v>
      </c>
    </row>
    <row r="18" spans="1:1" x14ac:dyDescent="0.25">
      <c r="A18" t="s">
        <v>66</v>
      </c>
    </row>
    <row r="19" spans="1:1" x14ac:dyDescent="0.25">
      <c r="A19" t="s">
        <v>67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t="s">
        <v>74</v>
      </c>
    </row>
    <row r="27" spans="1:1" x14ac:dyDescent="0.25">
      <c r="A27" t="s">
        <v>75</v>
      </c>
    </row>
    <row r="28" spans="1:1" x14ac:dyDescent="0.25">
      <c r="A28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Q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2" style="14" customWidth="1"/>
    <col min="2" max="2" width="34" customWidth="1"/>
    <col min="3" max="3" width="28" customWidth="1"/>
    <col min="4" max="4" width="14" customWidth="1"/>
    <col min="5" max="5" width="30" customWidth="1"/>
    <col min="6" max="7" width="28" customWidth="1"/>
    <col min="8" max="8" width="22" customWidth="1"/>
    <col min="9" max="9" width="18" customWidth="1"/>
    <col min="10" max="11" width="17" customWidth="1"/>
    <col min="12" max="12" width="18" customWidth="1"/>
    <col min="13" max="13" width="14" customWidth="1"/>
    <col min="14" max="14" width="18" customWidth="1"/>
    <col min="15" max="15" width="20" customWidth="1"/>
    <col min="16" max="16" width="24" customWidth="1"/>
    <col min="17" max="17" width="30" customWidth="1"/>
  </cols>
  <sheetData>
    <row r="1" ht="14" customHeight="1" spans="1:4" x14ac:dyDescent="0.25">
      <c r="A1" s="15" t="s">
        <v>77</v>
      </c>
      <c r="B1" s="16" t="s">
        <v>78</v>
      </c>
      <c r="C1" s="17" t="s">
        <v>79</v>
      </c>
      <c r="D1" s="18" t="s">
        <v>80</v>
      </c>
    </row>
    <row r="2" ht="14" customHeight="1" spans="1:17" x14ac:dyDescent="0.25">
      <c r="A2" s="19" t="s">
        <v>81</v>
      </c>
      <c r="B2" s="19"/>
      <c r="C2" s="19"/>
      <c r="D2" s="19"/>
      <c r="E2" s="19"/>
      <c r="F2" s="19"/>
      <c r="G2" s="19"/>
      <c r="H2" s="19"/>
      <c r="I2" s="20" t="s">
        <v>82</v>
      </c>
      <c r="J2" s="20"/>
      <c r="K2" s="20"/>
      <c r="L2" s="20"/>
      <c r="M2" s="21" t="s">
        <v>83</v>
      </c>
      <c r="N2" s="21"/>
      <c r="O2" s="21"/>
      <c r="P2" s="22" t="s">
        <v>84</v>
      </c>
      <c r="Q2" s="22"/>
    </row>
    <row r="3" ht="22" customHeight="1" spans="1:17" x14ac:dyDescent="0.25">
      <c r="A3" s="23" t="s">
        <v>85</v>
      </c>
      <c r="B3" s="24" t="s">
        <v>86</v>
      </c>
      <c r="C3" s="24" t="s">
        <v>87</v>
      </c>
      <c r="D3" s="24" t="s">
        <v>88</v>
      </c>
      <c r="E3" s="24" t="s">
        <v>49</v>
      </c>
      <c r="F3" s="24" t="s">
        <v>89</v>
      </c>
      <c r="G3" s="24" t="s">
        <v>90</v>
      </c>
      <c r="H3" s="24" t="s">
        <v>25</v>
      </c>
      <c r="I3" s="25" t="s">
        <v>91</v>
      </c>
      <c r="J3" s="25" t="s">
        <v>92</v>
      </c>
      <c r="K3" s="25" t="s">
        <v>93</v>
      </c>
      <c r="L3" s="25" t="s">
        <v>94</v>
      </c>
      <c r="M3" s="26" t="s">
        <v>95</v>
      </c>
      <c r="N3" s="26" t="s">
        <v>96</v>
      </c>
      <c r="O3" s="26" t="s">
        <v>97</v>
      </c>
      <c r="P3" s="27" t="s">
        <v>98</v>
      </c>
      <c r="Q3" s="27" t="s">
        <v>99</v>
      </c>
    </row>
    <row r="4" spans="1:16" x14ac:dyDescent="0.25">
      <c r="A4" s="14"/>
      <c r="B4" s="28"/>
      <c r="C4" s="28"/>
      <c r="D4" t="s">
        <v>100</v>
      </c>
      <c r="E4" t="s">
        <v>50</v>
      </c>
      <c r="F4">
        <v>1</v>
      </c>
      <c r="G4" s="29">
        <v>0.21</v>
      </c>
      <c r="H4" t="s">
        <v>30</v>
      </c>
      <c r="I4" s="30">
        <f>IFERROR(VLOOKUP(H4,CARTON_LOOKUP!$A:$E,3,0),"")</f>
      </c>
      <c r="J4" s="30">
        <f>IFERROR(VLOOKUP(H4,CARTON_LOOKUP!$A:$E,4,0),"")</f>
      </c>
      <c r="K4" s="30">
        <f>IFERROR(VLOOKUP(H4,CARTON_LOOKUP!$A:$E,5,0),"")</f>
      </c>
      <c r="L4" s="31">
        <f>IFERROR(VLOOKUP(H4,CARTON_LOOKUP!$A:$E,2,0),"")</f>
      </c>
      <c r="M4" t="s">
        <v>101</v>
      </c>
      <c r="N4" t="s">
        <v>102</v>
      </c>
      <c r="O4" t="s">
        <v>103</v>
      </c>
    </row>
    <row r="5" spans="1:16" x14ac:dyDescent="0.25">
      <c r="A5" s="14"/>
      <c r="B5" s="28"/>
      <c r="C5" s="28"/>
      <c r="D5" t="s">
        <v>100</v>
      </c>
      <c r="E5" t="s">
        <v>50</v>
      </c>
      <c r="F5">
        <v>1</v>
      </c>
      <c r="G5" s="29">
        <v>0.21</v>
      </c>
      <c r="H5" t="s">
        <v>30</v>
      </c>
      <c r="I5" s="30">
        <f>IFERROR(VLOOKUP(H5,CARTON_LOOKUP!$A:$E,3,0),"")</f>
      </c>
      <c r="J5" s="30">
        <f>IFERROR(VLOOKUP(H5,CARTON_LOOKUP!$A:$E,4,0),"")</f>
      </c>
      <c r="K5" s="30">
        <f>IFERROR(VLOOKUP(H5,CARTON_LOOKUP!$A:$E,5,0),"")</f>
      </c>
      <c r="L5" s="31">
        <f>IFERROR(VLOOKUP(H5,CARTON_LOOKUP!$A:$E,2,0),"")</f>
      </c>
      <c r="M5" t="s">
        <v>101</v>
      </c>
      <c r="N5" t="s">
        <v>102</v>
      </c>
      <c r="O5" t="s">
        <v>103</v>
      </c>
    </row>
    <row r="6" spans="1:16" x14ac:dyDescent="0.25">
      <c r="A6" s="14"/>
      <c r="B6" s="28"/>
      <c r="C6" s="28"/>
      <c r="D6" t="s">
        <v>100</v>
      </c>
      <c r="E6" t="s">
        <v>50</v>
      </c>
      <c r="F6">
        <v>1</v>
      </c>
      <c r="G6" s="29">
        <v>0.21</v>
      </c>
      <c r="H6" t="s">
        <v>30</v>
      </c>
      <c r="I6" s="30">
        <f>IFERROR(VLOOKUP(H6,CARTON_LOOKUP!$A:$E,3,0),"")</f>
      </c>
      <c r="J6" s="30">
        <f>IFERROR(VLOOKUP(H6,CARTON_LOOKUP!$A:$E,4,0),"")</f>
      </c>
      <c r="K6" s="30">
        <f>IFERROR(VLOOKUP(H6,CARTON_LOOKUP!$A:$E,5,0),"")</f>
      </c>
      <c r="L6" s="31">
        <f>IFERROR(VLOOKUP(H6,CARTON_LOOKUP!$A:$E,2,0),"")</f>
      </c>
      <c r="M6" t="s">
        <v>101</v>
      </c>
      <c r="N6" t="s">
        <v>102</v>
      </c>
      <c r="O6" t="s">
        <v>103</v>
      </c>
    </row>
    <row r="7" spans="1:16" x14ac:dyDescent="0.25">
      <c r="A7" s="14"/>
      <c r="B7" s="28"/>
      <c r="C7" s="28"/>
      <c r="D7" t="s">
        <v>100</v>
      </c>
      <c r="E7" t="s">
        <v>50</v>
      </c>
      <c r="F7">
        <v>1</v>
      </c>
      <c r="G7" s="29">
        <v>0.21</v>
      </c>
      <c r="H7" t="s">
        <v>30</v>
      </c>
      <c r="I7" s="30">
        <f>IFERROR(VLOOKUP(H7,CARTON_LOOKUP!$A:$E,3,0),"")</f>
      </c>
      <c r="J7" s="30">
        <f>IFERROR(VLOOKUP(H7,CARTON_LOOKUP!$A:$E,4,0),"")</f>
      </c>
      <c r="K7" s="30">
        <f>IFERROR(VLOOKUP(H7,CARTON_LOOKUP!$A:$E,5,0),"")</f>
      </c>
      <c r="L7" s="31">
        <f>IFERROR(VLOOKUP(H7,CARTON_LOOKUP!$A:$E,2,0),"")</f>
      </c>
      <c r="M7" t="s">
        <v>101</v>
      </c>
      <c r="N7" t="s">
        <v>102</v>
      </c>
      <c r="O7" t="s">
        <v>103</v>
      </c>
    </row>
    <row r="8" spans="1:16" x14ac:dyDescent="0.25">
      <c r="A8" s="14"/>
      <c r="B8" s="28"/>
      <c r="C8" s="28"/>
      <c r="D8" t="s">
        <v>100</v>
      </c>
      <c r="E8" t="s">
        <v>50</v>
      </c>
      <c r="F8">
        <v>1</v>
      </c>
      <c r="G8" s="29">
        <v>0.21</v>
      </c>
      <c r="H8" t="s">
        <v>30</v>
      </c>
      <c r="I8" s="30">
        <f>IFERROR(VLOOKUP(H8,CARTON_LOOKUP!$A:$E,3,0),"")</f>
      </c>
      <c r="J8" s="30">
        <f>IFERROR(VLOOKUP(H8,CARTON_LOOKUP!$A:$E,4,0),"")</f>
      </c>
      <c r="K8" s="30">
        <f>IFERROR(VLOOKUP(H8,CARTON_LOOKUP!$A:$E,5,0),"")</f>
      </c>
      <c r="L8" s="31">
        <f>IFERROR(VLOOKUP(H8,CARTON_LOOKUP!$A:$E,2,0),"")</f>
      </c>
      <c r="M8" t="s">
        <v>101</v>
      </c>
      <c r="N8" t="s">
        <v>102</v>
      </c>
      <c r="O8" t="s">
        <v>103</v>
      </c>
    </row>
    <row r="9" spans="1:16" x14ac:dyDescent="0.25">
      <c r="A9" s="14"/>
      <c r="B9" s="28"/>
      <c r="C9" s="28"/>
      <c r="D9" t="s">
        <v>100</v>
      </c>
      <c r="E9" t="s">
        <v>50</v>
      </c>
      <c r="F9">
        <v>1</v>
      </c>
      <c r="G9" s="29">
        <v>0.21</v>
      </c>
      <c r="H9" t="s">
        <v>30</v>
      </c>
      <c r="I9" s="30">
        <f>IFERROR(VLOOKUP(H9,CARTON_LOOKUP!$A:$E,3,0),"")</f>
      </c>
      <c r="J9" s="30">
        <f>IFERROR(VLOOKUP(H9,CARTON_LOOKUP!$A:$E,4,0),"")</f>
      </c>
      <c r="K9" s="30">
        <f>IFERROR(VLOOKUP(H9,CARTON_LOOKUP!$A:$E,5,0),"")</f>
      </c>
      <c r="L9" s="31">
        <f>IFERROR(VLOOKUP(H9,CARTON_LOOKUP!$A:$E,2,0),"")</f>
      </c>
      <c r="M9" t="s">
        <v>101</v>
      </c>
      <c r="N9" t="s">
        <v>102</v>
      </c>
      <c r="O9" t="s">
        <v>103</v>
      </c>
    </row>
    <row r="10" spans="1:16" x14ac:dyDescent="0.25">
      <c r="A10" s="14"/>
      <c r="B10" s="28"/>
      <c r="C10" s="28"/>
      <c r="D10" t="s">
        <v>100</v>
      </c>
      <c r="E10" t="s">
        <v>50</v>
      </c>
      <c r="F10">
        <v>1</v>
      </c>
      <c r="G10" s="29">
        <v>0.21</v>
      </c>
      <c r="H10" t="s">
        <v>30</v>
      </c>
      <c r="I10" s="30">
        <f>IFERROR(VLOOKUP(H10,CARTON_LOOKUP!$A:$E,3,0),"")</f>
      </c>
      <c r="J10" s="30">
        <f>IFERROR(VLOOKUP(H10,CARTON_LOOKUP!$A:$E,4,0),"")</f>
      </c>
      <c r="K10" s="30">
        <f>IFERROR(VLOOKUP(H10,CARTON_LOOKUP!$A:$E,5,0),"")</f>
      </c>
      <c r="L10" s="31">
        <f>IFERROR(VLOOKUP(H10,CARTON_LOOKUP!$A:$E,2,0),"")</f>
      </c>
      <c r="M10" t="s">
        <v>101</v>
      </c>
      <c r="N10" t="s">
        <v>102</v>
      </c>
      <c r="O10" t="s">
        <v>103</v>
      </c>
    </row>
    <row r="11" spans="1:16" x14ac:dyDescent="0.25">
      <c r="A11" s="14"/>
      <c r="B11" s="28"/>
      <c r="C11" s="28"/>
      <c r="D11" t="s">
        <v>100</v>
      </c>
      <c r="E11" t="s">
        <v>50</v>
      </c>
      <c r="F11">
        <v>1</v>
      </c>
      <c r="G11" s="29">
        <v>0.21</v>
      </c>
      <c r="H11" t="s">
        <v>30</v>
      </c>
      <c r="I11" s="30">
        <f>IFERROR(VLOOKUP(H11,CARTON_LOOKUP!$A:$E,3,0),"")</f>
      </c>
      <c r="J11" s="30">
        <f>IFERROR(VLOOKUP(H11,CARTON_LOOKUP!$A:$E,4,0),"")</f>
      </c>
      <c r="K11" s="30">
        <f>IFERROR(VLOOKUP(H11,CARTON_LOOKUP!$A:$E,5,0),"")</f>
      </c>
      <c r="L11" s="31">
        <f>IFERROR(VLOOKUP(H11,CARTON_LOOKUP!$A:$E,2,0),"")</f>
      </c>
      <c r="M11" t="s">
        <v>101</v>
      </c>
      <c r="N11" t="s">
        <v>102</v>
      </c>
      <c r="O11" t="s">
        <v>103</v>
      </c>
    </row>
    <row r="12" spans="1:16" x14ac:dyDescent="0.25">
      <c r="A12" s="14"/>
      <c r="B12" s="28"/>
      <c r="C12" s="28"/>
      <c r="D12" t="s">
        <v>100</v>
      </c>
      <c r="E12" t="s">
        <v>50</v>
      </c>
      <c r="F12">
        <v>1</v>
      </c>
      <c r="G12" s="29">
        <v>0.21</v>
      </c>
      <c r="H12" t="s">
        <v>30</v>
      </c>
      <c r="I12" s="30">
        <f>IFERROR(VLOOKUP(H12,CARTON_LOOKUP!$A:$E,3,0),"")</f>
      </c>
      <c r="J12" s="30">
        <f>IFERROR(VLOOKUP(H12,CARTON_LOOKUP!$A:$E,4,0),"")</f>
      </c>
      <c r="K12" s="30">
        <f>IFERROR(VLOOKUP(H12,CARTON_LOOKUP!$A:$E,5,0),"")</f>
      </c>
      <c r="L12" s="31">
        <f>IFERROR(VLOOKUP(H12,CARTON_LOOKUP!$A:$E,2,0),"")</f>
      </c>
      <c r="M12" t="s">
        <v>101</v>
      </c>
      <c r="N12" t="s">
        <v>102</v>
      </c>
      <c r="O12" t="s">
        <v>103</v>
      </c>
    </row>
    <row r="13" spans="1:16" x14ac:dyDescent="0.25">
      <c r="A13" s="14"/>
      <c r="B13" s="28"/>
      <c r="C13" s="28"/>
      <c r="D13" t="s">
        <v>100</v>
      </c>
      <c r="E13" t="s">
        <v>50</v>
      </c>
      <c r="F13">
        <v>1</v>
      </c>
      <c r="G13" s="29">
        <v>0.21</v>
      </c>
      <c r="H13" t="s">
        <v>30</v>
      </c>
      <c r="I13" s="30">
        <f>IFERROR(VLOOKUP(H13,CARTON_LOOKUP!$A:$E,3,0),"")</f>
      </c>
      <c r="J13" s="30">
        <f>IFERROR(VLOOKUP(H13,CARTON_LOOKUP!$A:$E,4,0),"")</f>
      </c>
      <c r="K13" s="30">
        <f>IFERROR(VLOOKUP(H13,CARTON_LOOKUP!$A:$E,5,0),"")</f>
      </c>
      <c r="L13" s="31">
        <f>IFERROR(VLOOKUP(H13,CARTON_LOOKUP!$A:$E,2,0),"")</f>
      </c>
      <c r="M13" t="s">
        <v>101</v>
      </c>
      <c r="N13" t="s">
        <v>102</v>
      </c>
      <c r="O13" t="s">
        <v>103</v>
      </c>
    </row>
    <row r="14" spans="1:16" x14ac:dyDescent="0.25">
      <c r="A14" s="14"/>
      <c r="B14" s="28"/>
      <c r="C14" s="28"/>
      <c r="D14" t="s">
        <v>100</v>
      </c>
      <c r="E14" t="s">
        <v>50</v>
      </c>
      <c r="F14">
        <v>1</v>
      </c>
      <c r="G14" s="29">
        <v>0.21</v>
      </c>
      <c r="H14" t="s">
        <v>30</v>
      </c>
      <c r="I14" s="30">
        <f>IFERROR(VLOOKUP(H14,CARTON_LOOKUP!$A:$E,3,0),"")</f>
      </c>
      <c r="J14" s="30">
        <f>IFERROR(VLOOKUP(H14,CARTON_LOOKUP!$A:$E,4,0),"")</f>
      </c>
      <c r="K14" s="30">
        <f>IFERROR(VLOOKUP(H14,CARTON_LOOKUP!$A:$E,5,0),"")</f>
      </c>
      <c r="L14" s="31">
        <f>IFERROR(VLOOKUP(H14,CARTON_LOOKUP!$A:$E,2,0),"")</f>
      </c>
      <c r="M14" t="s">
        <v>101</v>
      </c>
      <c r="N14" t="s">
        <v>102</v>
      </c>
      <c r="O14" t="s">
        <v>103</v>
      </c>
    </row>
    <row r="15" spans="1:16" x14ac:dyDescent="0.25">
      <c r="A15" s="14"/>
      <c r="B15" s="28"/>
      <c r="C15" s="28"/>
      <c r="D15" t="s">
        <v>100</v>
      </c>
      <c r="E15" t="s">
        <v>50</v>
      </c>
      <c r="F15">
        <v>1</v>
      </c>
      <c r="G15" s="29">
        <v>0.21</v>
      </c>
      <c r="H15" t="s">
        <v>30</v>
      </c>
      <c r="I15" s="30">
        <f>IFERROR(VLOOKUP(H15,CARTON_LOOKUP!$A:$E,3,0),"")</f>
      </c>
      <c r="J15" s="30">
        <f>IFERROR(VLOOKUP(H15,CARTON_LOOKUP!$A:$E,4,0),"")</f>
      </c>
      <c r="K15" s="30">
        <f>IFERROR(VLOOKUP(H15,CARTON_LOOKUP!$A:$E,5,0),"")</f>
      </c>
      <c r="L15" s="31">
        <f>IFERROR(VLOOKUP(H15,CARTON_LOOKUP!$A:$E,2,0),"")</f>
      </c>
      <c r="M15" t="s">
        <v>101</v>
      </c>
      <c r="N15" t="s">
        <v>102</v>
      </c>
      <c r="O15" t="s">
        <v>103</v>
      </c>
    </row>
    <row r="16" spans="1:16" x14ac:dyDescent="0.25">
      <c r="A16" s="14"/>
      <c r="B16" s="28"/>
      <c r="C16" s="28"/>
      <c r="D16" t="s">
        <v>100</v>
      </c>
      <c r="E16" t="s">
        <v>50</v>
      </c>
      <c r="F16">
        <v>1</v>
      </c>
      <c r="G16" s="29">
        <v>0.21</v>
      </c>
      <c r="H16" t="s">
        <v>30</v>
      </c>
      <c r="I16" s="30">
        <f>IFERROR(VLOOKUP(H16,CARTON_LOOKUP!$A:$E,3,0),"")</f>
      </c>
      <c r="J16" s="30">
        <f>IFERROR(VLOOKUP(H16,CARTON_LOOKUP!$A:$E,4,0),"")</f>
      </c>
      <c r="K16" s="30">
        <f>IFERROR(VLOOKUP(H16,CARTON_LOOKUP!$A:$E,5,0),"")</f>
      </c>
      <c r="L16" s="31">
        <f>IFERROR(VLOOKUP(H16,CARTON_LOOKUP!$A:$E,2,0),"")</f>
      </c>
      <c r="M16" t="s">
        <v>101</v>
      </c>
      <c r="N16" t="s">
        <v>102</v>
      </c>
      <c r="O16" t="s">
        <v>103</v>
      </c>
    </row>
    <row r="17" spans="1:16" x14ac:dyDescent="0.25">
      <c r="A17" s="14"/>
      <c r="B17" s="28"/>
      <c r="C17" s="28"/>
      <c r="D17" t="s">
        <v>100</v>
      </c>
      <c r="E17" t="s">
        <v>50</v>
      </c>
      <c r="F17">
        <v>1</v>
      </c>
      <c r="G17" s="29">
        <v>0.21</v>
      </c>
      <c r="H17" t="s">
        <v>30</v>
      </c>
      <c r="I17" s="30">
        <f>IFERROR(VLOOKUP(H17,CARTON_LOOKUP!$A:$E,3,0),"")</f>
      </c>
      <c r="J17" s="30">
        <f>IFERROR(VLOOKUP(H17,CARTON_LOOKUP!$A:$E,4,0),"")</f>
      </c>
      <c r="K17" s="30">
        <f>IFERROR(VLOOKUP(H17,CARTON_LOOKUP!$A:$E,5,0),"")</f>
      </c>
      <c r="L17" s="31">
        <f>IFERROR(VLOOKUP(H17,CARTON_LOOKUP!$A:$E,2,0),"")</f>
      </c>
      <c r="M17" t="s">
        <v>101</v>
      </c>
      <c r="N17" t="s">
        <v>102</v>
      </c>
      <c r="O17" t="s">
        <v>103</v>
      </c>
    </row>
    <row r="18" spans="1:16" x14ac:dyDescent="0.25">
      <c r="A18" s="14"/>
      <c r="B18" s="28"/>
      <c r="C18" s="28"/>
      <c r="D18" t="s">
        <v>100</v>
      </c>
      <c r="E18" t="s">
        <v>50</v>
      </c>
      <c r="F18">
        <v>1</v>
      </c>
      <c r="G18" s="29">
        <v>0.21</v>
      </c>
      <c r="H18" t="s">
        <v>30</v>
      </c>
      <c r="I18" s="30">
        <f>IFERROR(VLOOKUP(H18,CARTON_LOOKUP!$A:$E,3,0),"")</f>
      </c>
      <c r="J18" s="30">
        <f>IFERROR(VLOOKUP(H18,CARTON_LOOKUP!$A:$E,4,0),"")</f>
      </c>
      <c r="K18" s="30">
        <f>IFERROR(VLOOKUP(H18,CARTON_LOOKUP!$A:$E,5,0),"")</f>
      </c>
      <c r="L18" s="31">
        <f>IFERROR(VLOOKUP(H18,CARTON_LOOKUP!$A:$E,2,0),"")</f>
      </c>
      <c r="M18" t="s">
        <v>101</v>
      </c>
      <c r="N18" t="s">
        <v>102</v>
      </c>
      <c r="O18" t="s">
        <v>103</v>
      </c>
    </row>
    <row r="19" spans="1:16" x14ac:dyDescent="0.25">
      <c r="A19" s="14"/>
      <c r="B19" s="28"/>
      <c r="C19" s="28"/>
      <c r="D19" t="s">
        <v>100</v>
      </c>
      <c r="E19" t="s">
        <v>50</v>
      </c>
      <c r="F19">
        <v>1</v>
      </c>
      <c r="G19" s="29">
        <v>0.21</v>
      </c>
      <c r="H19" t="s">
        <v>30</v>
      </c>
      <c r="I19" s="30">
        <f>IFERROR(VLOOKUP(H19,CARTON_LOOKUP!$A:$E,3,0),"")</f>
      </c>
      <c r="J19" s="30">
        <f>IFERROR(VLOOKUP(H19,CARTON_LOOKUP!$A:$E,4,0),"")</f>
      </c>
      <c r="K19" s="30">
        <f>IFERROR(VLOOKUP(H19,CARTON_LOOKUP!$A:$E,5,0),"")</f>
      </c>
      <c r="L19" s="31">
        <f>IFERROR(VLOOKUP(H19,CARTON_LOOKUP!$A:$E,2,0),"")</f>
      </c>
      <c r="M19" t="s">
        <v>101</v>
      </c>
      <c r="N19" t="s">
        <v>102</v>
      </c>
      <c r="O19" t="s">
        <v>103</v>
      </c>
    </row>
    <row r="20" spans="1:16" x14ac:dyDescent="0.25">
      <c r="A20" s="14"/>
      <c r="B20" s="28"/>
      <c r="C20" s="28"/>
      <c r="D20" t="s">
        <v>100</v>
      </c>
      <c r="E20" t="s">
        <v>50</v>
      </c>
      <c r="F20">
        <v>1</v>
      </c>
      <c r="G20" s="29">
        <v>0.21</v>
      </c>
      <c r="H20" t="s">
        <v>30</v>
      </c>
      <c r="I20" s="30">
        <f>IFERROR(VLOOKUP(H20,CARTON_LOOKUP!$A:$E,3,0),"")</f>
      </c>
      <c r="J20" s="30">
        <f>IFERROR(VLOOKUP(H20,CARTON_LOOKUP!$A:$E,4,0),"")</f>
      </c>
      <c r="K20" s="30">
        <f>IFERROR(VLOOKUP(H20,CARTON_LOOKUP!$A:$E,5,0),"")</f>
      </c>
      <c r="L20" s="31">
        <f>IFERROR(VLOOKUP(H20,CARTON_LOOKUP!$A:$E,2,0),"")</f>
      </c>
      <c r="M20" t="s">
        <v>101</v>
      </c>
      <c r="N20" t="s">
        <v>102</v>
      </c>
      <c r="O20" t="s">
        <v>103</v>
      </c>
    </row>
    <row r="21" spans="1:16" x14ac:dyDescent="0.25">
      <c r="A21" s="14"/>
      <c r="B21" s="28"/>
      <c r="C21" s="28"/>
      <c r="D21" t="s">
        <v>100</v>
      </c>
      <c r="E21" t="s">
        <v>50</v>
      </c>
      <c r="F21">
        <v>1</v>
      </c>
      <c r="G21" s="29">
        <v>0.21</v>
      </c>
      <c r="H21" t="s">
        <v>30</v>
      </c>
      <c r="I21" s="30">
        <f>IFERROR(VLOOKUP(H21,CARTON_LOOKUP!$A:$E,3,0),"")</f>
      </c>
      <c r="J21" s="30">
        <f>IFERROR(VLOOKUP(H21,CARTON_LOOKUP!$A:$E,4,0),"")</f>
      </c>
      <c r="K21" s="30">
        <f>IFERROR(VLOOKUP(H21,CARTON_LOOKUP!$A:$E,5,0),"")</f>
      </c>
      <c r="L21" s="31">
        <f>IFERROR(VLOOKUP(H21,CARTON_LOOKUP!$A:$E,2,0),"")</f>
      </c>
      <c r="M21" t="s">
        <v>101</v>
      </c>
      <c r="N21" t="s">
        <v>102</v>
      </c>
      <c r="O21" t="s">
        <v>103</v>
      </c>
    </row>
    <row r="22" spans="1:16" x14ac:dyDescent="0.25">
      <c r="A22" s="14"/>
      <c r="B22" s="28"/>
      <c r="C22" s="28"/>
      <c r="D22" t="s">
        <v>100</v>
      </c>
      <c r="E22" t="s">
        <v>50</v>
      </c>
      <c r="F22">
        <v>1</v>
      </c>
      <c r="G22" s="29">
        <v>0.21</v>
      </c>
      <c r="H22" t="s">
        <v>30</v>
      </c>
      <c r="I22" s="30">
        <f>IFERROR(VLOOKUP(H22,CARTON_LOOKUP!$A:$E,3,0),"")</f>
      </c>
      <c r="J22" s="30">
        <f>IFERROR(VLOOKUP(H22,CARTON_LOOKUP!$A:$E,4,0),"")</f>
      </c>
      <c r="K22" s="30">
        <f>IFERROR(VLOOKUP(H22,CARTON_LOOKUP!$A:$E,5,0),"")</f>
      </c>
      <c r="L22" s="31">
        <f>IFERROR(VLOOKUP(H22,CARTON_LOOKUP!$A:$E,2,0),"")</f>
      </c>
      <c r="M22" t="s">
        <v>101</v>
      </c>
      <c r="N22" t="s">
        <v>102</v>
      </c>
      <c r="O22" t="s">
        <v>103</v>
      </c>
    </row>
    <row r="23" spans="1:16" x14ac:dyDescent="0.25">
      <c r="A23" s="14"/>
      <c r="B23" s="28"/>
      <c r="C23" s="28"/>
      <c r="D23" t="s">
        <v>100</v>
      </c>
      <c r="E23" t="s">
        <v>50</v>
      </c>
      <c r="F23">
        <v>1</v>
      </c>
      <c r="G23" s="29">
        <v>0.21</v>
      </c>
      <c r="H23" t="s">
        <v>30</v>
      </c>
      <c r="I23" s="30">
        <f>IFERROR(VLOOKUP(H23,CARTON_LOOKUP!$A:$E,3,0),"")</f>
      </c>
      <c r="J23" s="30">
        <f>IFERROR(VLOOKUP(H23,CARTON_LOOKUP!$A:$E,4,0),"")</f>
      </c>
      <c r="K23" s="30">
        <f>IFERROR(VLOOKUP(H23,CARTON_LOOKUP!$A:$E,5,0),"")</f>
      </c>
      <c r="L23" s="31">
        <f>IFERROR(VLOOKUP(H23,CARTON_LOOKUP!$A:$E,2,0),"")</f>
      </c>
      <c r="M23" t="s">
        <v>101</v>
      </c>
      <c r="N23" t="s">
        <v>102</v>
      </c>
      <c r="O23" t="s">
        <v>103</v>
      </c>
    </row>
    <row r="24" spans="1:16" x14ac:dyDescent="0.25">
      <c r="A24" s="14"/>
      <c r="B24" s="28"/>
      <c r="C24" s="28"/>
      <c r="D24" t="s">
        <v>100</v>
      </c>
      <c r="E24" t="s">
        <v>50</v>
      </c>
      <c r="F24">
        <v>1</v>
      </c>
      <c r="G24" s="29">
        <v>0.21</v>
      </c>
      <c r="H24" t="s">
        <v>30</v>
      </c>
      <c r="I24" s="30">
        <f>IFERROR(VLOOKUP(H24,CARTON_LOOKUP!$A:$E,3,0),"")</f>
      </c>
      <c r="J24" s="30">
        <f>IFERROR(VLOOKUP(H24,CARTON_LOOKUP!$A:$E,4,0),"")</f>
      </c>
      <c r="K24" s="30">
        <f>IFERROR(VLOOKUP(H24,CARTON_LOOKUP!$A:$E,5,0),"")</f>
      </c>
      <c r="L24" s="31">
        <f>IFERROR(VLOOKUP(H24,CARTON_LOOKUP!$A:$E,2,0),"")</f>
      </c>
      <c r="M24" t="s">
        <v>101</v>
      </c>
      <c r="N24" t="s">
        <v>102</v>
      </c>
      <c r="O24" t="s">
        <v>103</v>
      </c>
    </row>
    <row r="25" spans="1:16" x14ac:dyDescent="0.25">
      <c r="A25" s="14"/>
      <c r="B25" s="28"/>
      <c r="C25" s="28"/>
      <c r="D25" t="s">
        <v>100</v>
      </c>
      <c r="E25" t="s">
        <v>50</v>
      </c>
      <c r="F25">
        <v>1</v>
      </c>
      <c r="G25" s="29">
        <v>0.21</v>
      </c>
      <c r="H25" t="s">
        <v>30</v>
      </c>
      <c r="I25" s="30">
        <f>IFERROR(VLOOKUP(H25,CARTON_LOOKUP!$A:$E,3,0),"")</f>
      </c>
      <c r="J25" s="30">
        <f>IFERROR(VLOOKUP(H25,CARTON_LOOKUP!$A:$E,4,0),"")</f>
      </c>
      <c r="K25" s="30">
        <f>IFERROR(VLOOKUP(H25,CARTON_LOOKUP!$A:$E,5,0),"")</f>
      </c>
      <c r="L25" s="31">
        <f>IFERROR(VLOOKUP(H25,CARTON_LOOKUP!$A:$E,2,0),"")</f>
      </c>
      <c r="M25" t="s">
        <v>101</v>
      </c>
      <c r="N25" t="s">
        <v>102</v>
      </c>
      <c r="O25" t="s">
        <v>103</v>
      </c>
    </row>
    <row r="26" spans="1:16" x14ac:dyDescent="0.25">
      <c r="A26" s="14"/>
      <c r="B26" s="28"/>
      <c r="C26" s="28"/>
      <c r="D26" t="s">
        <v>100</v>
      </c>
      <c r="E26" t="s">
        <v>50</v>
      </c>
      <c r="F26">
        <v>1</v>
      </c>
      <c r="G26" s="29">
        <v>0.21</v>
      </c>
      <c r="H26" t="s">
        <v>30</v>
      </c>
      <c r="I26" s="30">
        <f>IFERROR(VLOOKUP(H26,CARTON_LOOKUP!$A:$E,3,0),"")</f>
      </c>
      <c r="J26" s="30">
        <f>IFERROR(VLOOKUP(H26,CARTON_LOOKUP!$A:$E,4,0),"")</f>
      </c>
      <c r="K26" s="30">
        <f>IFERROR(VLOOKUP(H26,CARTON_LOOKUP!$A:$E,5,0),"")</f>
      </c>
      <c r="L26" s="31">
        <f>IFERROR(VLOOKUP(H26,CARTON_LOOKUP!$A:$E,2,0),"")</f>
      </c>
      <c r="M26" t="s">
        <v>101</v>
      </c>
      <c r="N26" t="s">
        <v>102</v>
      </c>
      <c r="O26" t="s">
        <v>103</v>
      </c>
    </row>
    <row r="27" spans="1:16" x14ac:dyDescent="0.25">
      <c r="A27" s="14"/>
      <c r="B27" s="28"/>
      <c r="C27" s="28"/>
      <c r="D27" t="s">
        <v>100</v>
      </c>
      <c r="E27" t="s">
        <v>50</v>
      </c>
      <c r="F27">
        <v>1</v>
      </c>
      <c r="G27" s="29">
        <v>0.21</v>
      </c>
      <c r="H27" t="s">
        <v>30</v>
      </c>
      <c r="I27" s="30">
        <f>IFERROR(VLOOKUP(H27,CARTON_LOOKUP!$A:$E,3,0),"")</f>
      </c>
      <c r="J27" s="30">
        <f>IFERROR(VLOOKUP(H27,CARTON_LOOKUP!$A:$E,4,0),"")</f>
      </c>
      <c r="K27" s="30">
        <f>IFERROR(VLOOKUP(H27,CARTON_LOOKUP!$A:$E,5,0),"")</f>
      </c>
      <c r="L27" s="31">
        <f>IFERROR(VLOOKUP(H27,CARTON_LOOKUP!$A:$E,2,0),"")</f>
      </c>
      <c r="M27" t="s">
        <v>101</v>
      </c>
      <c r="N27" t="s">
        <v>102</v>
      </c>
      <c r="O27" t="s">
        <v>103</v>
      </c>
    </row>
    <row r="28" spans="1:16" x14ac:dyDescent="0.25">
      <c r="A28" s="14"/>
      <c r="B28" s="28"/>
      <c r="C28" s="28"/>
      <c r="D28" t="s">
        <v>100</v>
      </c>
      <c r="E28" t="s">
        <v>50</v>
      </c>
      <c r="F28">
        <v>1</v>
      </c>
      <c r="G28" s="29">
        <v>0.21</v>
      </c>
      <c r="H28" t="s">
        <v>30</v>
      </c>
      <c r="I28" s="30">
        <f>IFERROR(VLOOKUP(H28,CARTON_LOOKUP!$A:$E,3,0),"")</f>
      </c>
      <c r="J28" s="30">
        <f>IFERROR(VLOOKUP(H28,CARTON_LOOKUP!$A:$E,4,0),"")</f>
      </c>
      <c r="K28" s="30">
        <f>IFERROR(VLOOKUP(H28,CARTON_LOOKUP!$A:$E,5,0),"")</f>
      </c>
      <c r="L28" s="31">
        <f>IFERROR(VLOOKUP(H28,CARTON_LOOKUP!$A:$E,2,0),"")</f>
      </c>
      <c r="M28" t="s">
        <v>101</v>
      </c>
      <c r="N28" t="s">
        <v>102</v>
      </c>
      <c r="O28" t="s">
        <v>103</v>
      </c>
    </row>
    <row r="29" spans="1:16" x14ac:dyDescent="0.25">
      <c r="A29" s="14"/>
      <c r="B29" s="28"/>
      <c r="C29" s="28"/>
      <c r="D29" t="s">
        <v>100</v>
      </c>
      <c r="E29" t="s">
        <v>50</v>
      </c>
      <c r="F29">
        <v>1</v>
      </c>
      <c r="G29" s="29">
        <v>0.21</v>
      </c>
      <c r="H29" t="s">
        <v>30</v>
      </c>
      <c r="I29" s="30">
        <f>IFERROR(VLOOKUP(H29,CARTON_LOOKUP!$A:$E,3,0),"")</f>
      </c>
      <c r="J29" s="30">
        <f>IFERROR(VLOOKUP(H29,CARTON_LOOKUP!$A:$E,4,0),"")</f>
      </c>
      <c r="K29" s="30">
        <f>IFERROR(VLOOKUP(H29,CARTON_LOOKUP!$A:$E,5,0),"")</f>
      </c>
      <c r="L29" s="31">
        <f>IFERROR(VLOOKUP(H29,CARTON_LOOKUP!$A:$E,2,0),"")</f>
      </c>
      <c r="M29" t="s">
        <v>101</v>
      </c>
      <c r="N29" t="s">
        <v>102</v>
      </c>
      <c r="O29" t="s">
        <v>103</v>
      </c>
    </row>
    <row r="30" spans="1:16" x14ac:dyDescent="0.25">
      <c r="A30" s="14"/>
      <c r="B30" s="28"/>
      <c r="C30" s="28"/>
      <c r="D30" t="s">
        <v>100</v>
      </c>
      <c r="E30" t="s">
        <v>50</v>
      </c>
      <c r="F30">
        <v>1</v>
      </c>
      <c r="G30" s="29">
        <v>0.21</v>
      </c>
      <c r="H30" t="s">
        <v>30</v>
      </c>
      <c r="I30" s="30">
        <f>IFERROR(VLOOKUP(H30,CARTON_LOOKUP!$A:$E,3,0),"")</f>
      </c>
      <c r="J30" s="30">
        <f>IFERROR(VLOOKUP(H30,CARTON_LOOKUP!$A:$E,4,0),"")</f>
      </c>
      <c r="K30" s="30">
        <f>IFERROR(VLOOKUP(H30,CARTON_LOOKUP!$A:$E,5,0),"")</f>
      </c>
      <c r="L30" s="31">
        <f>IFERROR(VLOOKUP(H30,CARTON_LOOKUP!$A:$E,2,0),"")</f>
      </c>
      <c r="M30" t="s">
        <v>101</v>
      </c>
      <c r="N30" t="s">
        <v>102</v>
      </c>
      <c r="O30" t="s">
        <v>103</v>
      </c>
    </row>
    <row r="31" spans="1:16" x14ac:dyDescent="0.25">
      <c r="A31" s="14"/>
      <c r="B31" s="28"/>
      <c r="C31" s="28"/>
      <c r="D31" t="s">
        <v>100</v>
      </c>
      <c r="E31" t="s">
        <v>50</v>
      </c>
      <c r="F31">
        <v>1</v>
      </c>
      <c r="G31" s="29">
        <v>0.21</v>
      </c>
      <c r="H31" t="s">
        <v>30</v>
      </c>
      <c r="I31" s="30">
        <f>IFERROR(VLOOKUP(H31,CARTON_LOOKUP!$A:$E,3,0),"")</f>
      </c>
      <c r="J31" s="30">
        <f>IFERROR(VLOOKUP(H31,CARTON_LOOKUP!$A:$E,4,0),"")</f>
      </c>
      <c r="K31" s="30">
        <f>IFERROR(VLOOKUP(H31,CARTON_LOOKUP!$A:$E,5,0),"")</f>
      </c>
      <c r="L31" s="31">
        <f>IFERROR(VLOOKUP(H31,CARTON_LOOKUP!$A:$E,2,0),"")</f>
      </c>
      <c r="M31" t="s">
        <v>101</v>
      </c>
      <c r="N31" t="s">
        <v>102</v>
      </c>
      <c r="O31" t="s">
        <v>103</v>
      </c>
    </row>
    <row r="32" spans="1:16" x14ac:dyDescent="0.25">
      <c r="A32" s="14"/>
      <c r="B32" s="28"/>
      <c r="C32" s="28"/>
      <c r="D32" t="s">
        <v>100</v>
      </c>
      <c r="E32" t="s">
        <v>50</v>
      </c>
      <c r="F32">
        <v>1</v>
      </c>
      <c r="G32" s="29">
        <v>0.21</v>
      </c>
      <c r="H32" t="s">
        <v>30</v>
      </c>
      <c r="I32" s="30">
        <f>IFERROR(VLOOKUP(H32,CARTON_LOOKUP!$A:$E,3,0),"")</f>
      </c>
      <c r="J32" s="30">
        <f>IFERROR(VLOOKUP(H32,CARTON_LOOKUP!$A:$E,4,0),"")</f>
      </c>
      <c r="K32" s="30">
        <f>IFERROR(VLOOKUP(H32,CARTON_LOOKUP!$A:$E,5,0),"")</f>
      </c>
      <c r="L32" s="31">
        <f>IFERROR(VLOOKUP(H32,CARTON_LOOKUP!$A:$E,2,0),"")</f>
      </c>
      <c r="M32" t="s">
        <v>101</v>
      </c>
      <c r="N32" t="s">
        <v>102</v>
      </c>
      <c r="O32" t="s">
        <v>103</v>
      </c>
    </row>
    <row r="33" spans="1:16" x14ac:dyDescent="0.25">
      <c r="A33" s="14"/>
      <c r="B33" s="28"/>
      <c r="C33" s="28"/>
      <c r="D33" t="s">
        <v>100</v>
      </c>
      <c r="E33" t="s">
        <v>50</v>
      </c>
      <c r="F33">
        <v>1</v>
      </c>
      <c r="G33" s="29">
        <v>0.21</v>
      </c>
      <c r="H33" t="s">
        <v>30</v>
      </c>
      <c r="I33" s="30">
        <f>IFERROR(VLOOKUP(H33,CARTON_LOOKUP!$A:$E,3,0),"")</f>
      </c>
      <c r="J33" s="30">
        <f>IFERROR(VLOOKUP(H33,CARTON_LOOKUP!$A:$E,4,0),"")</f>
      </c>
      <c r="K33" s="30">
        <f>IFERROR(VLOOKUP(H33,CARTON_LOOKUP!$A:$E,5,0),"")</f>
      </c>
      <c r="L33" s="31">
        <f>IFERROR(VLOOKUP(H33,CARTON_LOOKUP!$A:$E,2,0),"")</f>
      </c>
      <c r="M33" t="s">
        <v>101</v>
      </c>
      <c r="N33" t="s">
        <v>102</v>
      </c>
      <c r="O33" t="s">
        <v>103</v>
      </c>
    </row>
    <row r="34" spans="1:16" x14ac:dyDescent="0.25">
      <c r="A34" s="14"/>
      <c r="B34" s="28"/>
      <c r="C34" s="28"/>
      <c r="D34" t="s">
        <v>100</v>
      </c>
      <c r="E34" t="s">
        <v>50</v>
      </c>
      <c r="F34">
        <v>1</v>
      </c>
      <c r="G34" s="29">
        <v>0.21</v>
      </c>
      <c r="H34" t="s">
        <v>30</v>
      </c>
      <c r="I34" s="30">
        <f>IFERROR(VLOOKUP(H34,CARTON_LOOKUP!$A:$E,3,0),"")</f>
      </c>
      <c r="J34" s="30">
        <f>IFERROR(VLOOKUP(H34,CARTON_LOOKUP!$A:$E,4,0),"")</f>
      </c>
      <c r="K34" s="30">
        <f>IFERROR(VLOOKUP(H34,CARTON_LOOKUP!$A:$E,5,0),"")</f>
      </c>
      <c r="L34" s="31">
        <f>IFERROR(VLOOKUP(H34,CARTON_LOOKUP!$A:$E,2,0),"")</f>
      </c>
      <c r="M34" t="s">
        <v>101</v>
      </c>
      <c r="N34" t="s">
        <v>102</v>
      </c>
      <c r="O34" t="s">
        <v>103</v>
      </c>
    </row>
    <row r="35" spans="1:16" x14ac:dyDescent="0.25">
      <c r="A35" s="14"/>
      <c r="B35" s="28"/>
      <c r="C35" s="28"/>
      <c r="D35" t="s">
        <v>100</v>
      </c>
      <c r="E35" t="s">
        <v>50</v>
      </c>
      <c r="F35">
        <v>1</v>
      </c>
      <c r="G35" s="29">
        <v>0.21</v>
      </c>
      <c r="H35" t="s">
        <v>30</v>
      </c>
      <c r="I35" s="30">
        <f>IFERROR(VLOOKUP(H35,CARTON_LOOKUP!$A:$E,3,0),"")</f>
      </c>
      <c r="J35" s="30">
        <f>IFERROR(VLOOKUP(H35,CARTON_LOOKUP!$A:$E,4,0),"")</f>
      </c>
      <c r="K35" s="30">
        <f>IFERROR(VLOOKUP(H35,CARTON_LOOKUP!$A:$E,5,0),"")</f>
      </c>
      <c r="L35" s="31">
        <f>IFERROR(VLOOKUP(H35,CARTON_LOOKUP!$A:$E,2,0),"")</f>
      </c>
      <c r="M35" t="s">
        <v>101</v>
      </c>
      <c r="N35" t="s">
        <v>102</v>
      </c>
      <c r="O35" t="s">
        <v>103</v>
      </c>
    </row>
    <row r="36" spans="1:16" x14ac:dyDescent="0.25">
      <c r="A36" s="14"/>
      <c r="B36" s="28"/>
      <c r="C36" s="28"/>
      <c r="D36" t="s">
        <v>100</v>
      </c>
      <c r="E36" t="s">
        <v>50</v>
      </c>
      <c r="F36">
        <v>1</v>
      </c>
      <c r="G36" s="29">
        <v>0.21</v>
      </c>
      <c r="H36" t="s">
        <v>30</v>
      </c>
      <c r="I36" s="30">
        <f>IFERROR(VLOOKUP(H36,CARTON_LOOKUP!$A:$E,3,0),"")</f>
      </c>
      <c r="J36" s="30">
        <f>IFERROR(VLOOKUP(H36,CARTON_LOOKUP!$A:$E,4,0),"")</f>
      </c>
      <c r="K36" s="30">
        <f>IFERROR(VLOOKUP(H36,CARTON_LOOKUP!$A:$E,5,0),"")</f>
      </c>
      <c r="L36" s="31">
        <f>IFERROR(VLOOKUP(H36,CARTON_LOOKUP!$A:$E,2,0),"")</f>
      </c>
      <c r="M36" t="s">
        <v>101</v>
      </c>
      <c r="N36" t="s">
        <v>102</v>
      </c>
      <c r="O36" t="s">
        <v>103</v>
      </c>
    </row>
    <row r="37" spans="1:16" x14ac:dyDescent="0.25">
      <c r="A37" s="14"/>
      <c r="B37" s="28"/>
      <c r="C37" s="28"/>
      <c r="D37" t="s">
        <v>100</v>
      </c>
      <c r="E37" t="s">
        <v>50</v>
      </c>
      <c r="F37">
        <v>1</v>
      </c>
      <c r="G37" s="29">
        <v>0.21</v>
      </c>
      <c r="H37" t="s">
        <v>30</v>
      </c>
      <c r="I37" s="30">
        <f>IFERROR(VLOOKUP(H37,CARTON_LOOKUP!$A:$E,3,0),"")</f>
      </c>
      <c r="J37" s="30">
        <f>IFERROR(VLOOKUP(H37,CARTON_LOOKUP!$A:$E,4,0),"")</f>
      </c>
      <c r="K37" s="30">
        <f>IFERROR(VLOOKUP(H37,CARTON_LOOKUP!$A:$E,5,0),"")</f>
      </c>
      <c r="L37" s="31">
        <f>IFERROR(VLOOKUP(H37,CARTON_LOOKUP!$A:$E,2,0),"")</f>
      </c>
      <c r="M37" t="s">
        <v>101</v>
      </c>
      <c r="N37" t="s">
        <v>102</v>
      </c>
      <c r="O37" t="s">
        <v>103</v>
      </c>
    </row>
    <row r="38" spans="1:16" x14ac:dyDescent="0.25">
      <c r="A38" s="14"/>
      <c r="B38" s="28"/>
      <c r="C38" s="28"/>
      <c r="D38" t="s">
        <v>100</v>
      </c>
      <c r="E38" t="s">
        <v>50</v>
      </c>
      <c r="F38">
        <v>1</v>
      </c>
      <c r="G38" s="29">
        <v>0.21</v>
      </c>
      <c r="H38" t="s">
        <v>30</v>
      </c>
      <c r="I38" s="30">
        <f>IFERROR(VLOOKUP(H38,CARTON_LOOKUP!$A:$E,3,0),"")</f>
      </c>
      <c r="J38" s="30">
        <f>IFERROR(VLOOKUP(H38,CARTON_LOOKUP!$A:$E,4,0),"")</f>
      </c>
      <c r="K38" s="30">
        <f>IFERROR(VLOOKUP(H38,CARTON_LOOKUP!$A:$E,5,0),"")</f>
      </c>
      <c r="L38" s="31">
        <f>IFERROR(VLOOKUP(H38,CARTON_LOOKUP!$A:$E,2,0),"")</f>
      </c>
      <c r="M38" t="s">
        <v>101</v>
      </c>
      <c r="N38" t="s">
        <v>102</v>
      </c>
      <c r="O38" t="s">
        <v>103</v>
      </c>
    </row>
    <row r="39" spans="1:16" x14ac:dyDescent="0.25">
      <c r="A39" s="14"/>
      <c r="B39" s="28"/>
      <c r="C39" s="28"/>
      <c r="D39" t="s">
        <v>100</v>
      </c>
      <c r="E39" t="s">
        <v>50</v>
      </c>
      <c r="F39">
        <v>1</v>
      </c>
      <c r="G39" s="29">
        <v>0.21</v>
      </c>
      <c r="H39" t="s">
        <v>30</v>
      </c>
      <c r="I39" s="30">
        <f>IFERROR(VLOOKUP(H39,CARTON_LOOKUP!$A:$E,3,0),"")</f>
      </c>
      <c r="J39" s="30">
        <f>IFERROR(VLOOKUP(H39,CARTON_LOOKUP!$A:$E,4,0),"")</f>
      </c>
      <c r="K39" s="30">
        <f>IFERROR(VLOOKUP(H39,CARTON_LOOKUP!$A:$E,5,0),"")</f>
      </c>
      <c r="L39" s="31">
        <f>IFERROR(VLOOKUP(H39,CARTON_LOOKUP!$A:$E,2,0),"")</f>
      </c>
      <c r="M39" t="s">
        <v>101</v>
      </c>
      <c r="N39" t="s">
        <v>102</v>
      </c>
      <c r="O39" t="s">
        <v>103</v>
      </c>
    </row>
    <row r="40" spans="1:16" x14ac:dyDescent="0.25">
      <c r="A40" s="14"/>
      <c r="B40" s="28"/>
      <c r="C40" s="28"/>
      <c r="D40" t="s">
        <v>100</v>
      </c>
      <c r="E40" t="s">
        <v>50</v>
      </c>
      <c r="F40">
        <v>1</v>
      </c>
      <c r="G40" s="29">
        <v>0.21</v>
      </c>
      <c r="H40" t="s">
        <v>30</v>
      </c>
      <c r="I40" s="30">
        <f>IFERROR(VLOOKUP(H40,CARTON_LOOKUP!$A:$E,3,0),"")</f>
      </c>
      <c r="J40" s="30">
        <f>IFERROR(VLOOKUP(H40,CARTON_LOOKUP!$A:$E,4,0),"")</f>
      </c>
      <c r="K40" s="30">
        <f>IFERROR(VLOOKUP(H40,CARTON_LOOKUP!$A:$E,5,0),"")</f>
      </c>
      <c r="L40" s="31">
        <f>IFERROR(VLOOKUP(H40,CARTON_LOOKUP!$A:$E,2,0),"")</f>
      </c>
      <c r="M40" t="s">
        <v>101</v>
      </c>
      <c r="N40" t="s">
        <v>102</v>
      </c>
      <c r="O40" t="s">
        <v>103</v>
      </c>
    </row>
    <row r="41" spans="1:16" x14ac:dyDescent="0.25">
      <c r="A41" s="14"/>
      <c r="B41" s="28"/>
      <c r="C41" s="28"/>
      <c r="D41" t="s">
        <v>100</v>
      </c>
      <c r="E41" t="s">
        <v>50</v>
      </c>
      <c r="F41">
        <v>1</v>
      </c>
      <c r="G41" s="29">
        <v>0.21</v>
      </c>
      <c r="H41" t="s">
        <v>30</v>
      </c>
      <c r="I41" s="30">
        <f>IFERROR(VLOOKUP(H41,CARTON_LOOKUP!$A:$E,3,0),"")</f>
      </c>
      <c r="J41" s="30">
        <f>IFERROR(VLOOKUP(H41,CARTON_LOOKUP!$A:$E,4,0),"")</f>
      </c>
      <c r="K41" s="30">
        <f>IFERROR(VLOOKUP(H41,CARTON_LOOKUP!$A:$E,5,0),"")</f>
      </c>
      <c r="L41" s="31">
        <f>IFERROR(VLOOKUP(H41,CARTON_LOOKUP!$A:$E,2,0),"")</f>
      </c>
      <c r="M41" t="s">
        <v>101</v>
      </c>
      <c r="N41" t="s">
        <v>102</v>
      </c>
      <c r="O41" t="s">
        <v>103</v>
      </c>
    </row>
    <row r="42" spans="1:16" x14ac:dyDescent="0.25">
      <c r="A42" s="14"/>
      <c r="B42" s="28"/>
      <c r="C42" s="28"/>
      <c r="D42" t="s">
        <v>100</v>
      </c>
      <c r="E42" t="s">
        <v>50</v>
      </c>
      <c r="F42">
        <v>1</v>
      </c>
      <c r="G42" s="29">
        <v>0.21</v>
      </c>
      <c r="H42" t="s">
        <v>30</v>
      </c>
      <c r="I42" s="30">
        <f>IFERROR(VLOOKUP(H42,CARTON_LOOKUP!$A:$E,3,0),"")</f>
      </c>
      <c r="J42" s="30">
        <f>IFERROR(VLOOKUP(H42,CARTON_LOOKUP!$A:$E,4,0),"")</f>
      </c>
      <c r="K42" s="30">
        <f>IFERROR(VLOOKUP(H42,CARTON_LOOKUP!$A:$E,5,0),"")</f>
      </c>
      <c r="L42" s="31">
        <f>IFERROR(VLOOKUP(H42,CARTON_LOOKUP!$A:$E,2,0),"")</f>
      </c>
      <c r="M42" t="s">
        <v>101</v>
      </c>
      <c r="N42" t="s">
        <v>102</v>
      </c>
      <c r="O42" t="s">
        <v>103</v>
      </c>
    </row>
    <row r="43" spans="1:16" x14ac:dyDescent="0.25">
      <c r="A43" s="14"/>
      <c r="B43" s="28"/>
      <c r="C43" s="28"/>
      <c r="D43" t="s">
        <v>100</v>
      </c>
      <c r="E43" t="s">
        <v>50</v>
      </c>
      <c r="F43">
        <v>1</v>
      </c>
      <c r="G43" s="29">
        <v>0.21</v>
      </c>
      <c r="H43" t="s">
        <v>30</v>
      </c>
      <c r="I43" s="30">
        <f>IFERROR(VLOOKUP(H43,CARTON_LOOKUP!$A:$E,3,0),"")</f>
      </c>
      <c r="J43" s="30">
        <f>IFERROR(VLOOKUP(H43,CARTON_LOOKUP!$A:$E,4,0),"")</f>
      </c>
      <c r="K43" s="30">
        <f>IFERROR(VLOOKUP(H43,CARTON_LOOKUP!$A:$E,5,0),"")</f>
      </c>
      <c r="L43" s="31">
        <f>IFERROR(VLOOKUP(H43,CARTON_LOOKUP!$A:$E,2,0),"")</f>
      </c>
      <c r="M43" t="s">
        <v>101</v>
      </c>
      <c r="N43" t="s">
        <v>102</v>
      </c>
      <c r="O43" t="s">
        <v>103</v>
      </c>
    </row>
    <row r="44" spans="1:16" x14ac:dyDescent="0.25">
      <c r="A44" s="14"/>
      <c r="B44" s="28"/>
      <c r="C44" s="28"/>
      <c r="D44" t="s">
        <v>100</v>
      </c>
      <c r="E44" t="s">
        <v>50</v>
      </c>
      <c r="F44">
        <v>1</v>
      </c>
      <c r="G44" s="29">
        <v>0.21</v>
      </c>
      <c r="H44" t="s">
        <v>30</v>
      </c>
      <c r="I44" s="30">
        <f>IFERROR(VLOOKUP(H44,CARTON_LOOKUP!$A:$E,3,0),"")</f>
      </c>
      <c r="J44" s="30">
        <f>IFERROR(VLOOKUP(H44,CARTON_LOOKUP!$A:$E,4,0),"")</f>
      </c>
      <c r="K44" s="30">
        <f>IFERROR(VLOOKUP(H44,CARTON_LOOKUP!$A:$E,5,0),"")</f>
      </c>
      <c r="L44" s="31">
        <f>IFERROR(VLOOKUP(H44,CARTON_LOOKUP!$A:$E,2,0),"")</f>
      </c>
      <c r="M44" t="s">
        <v>101</v>
      </c>
      <c r="N44" t="s">
        <v>102</v>
      </c>
      <c r="O44" t="s">
        <v>103</v>
      </c>
    </row>
    <row r="45" spans="1:16" x14ac:dyDescent="0.25">
      <c r="A45" s="14"/>
      <c r="B45" s="28"/>
      <c r="C45" s="28"/>
      <c r="D45" t="s">
        <v>100</v>
      </c>
      <c r="E45" t="s">
        <v>50</v>
      </c>
      <c r="F45">
        <v>1</v>
      </c>
      <c r="G45" s="29">
        <v>0.21</v>
      </c>
      <c r="H45" t="s">
        <v>30</v>
      </c>
      <c r="I45" s="30">
        <f>IFERROR(VLOOKUP(H45,CARTON_LOOKUP!$A:$E,3,0),"")</f>
      </c>
      <c r="J45" s="30">
        <f>IFERROR(VLOOKUP(H45,CARTON_LOOKUP!$A:$E,4,0),"")</f>
      </c>
      <c r="K45" s="30">
        <f>IFERROR(VLOOKUP(H45,CARTON_LOOKUP!$A:$E,5,0),"")</f>
      </c>
      <c r="L45" s="31">
        <f>IFERROR(VLOOKUP(H45,CARTON_LOOKUP!$A:$E,2,0),"")</f>
      </c>
      <c r="M45" t="s">
        <v>101</v>
      </c>
      <c r="N45" t="s">
        <v>102</v>
      </c>
      <c r="O45" t="s">
        <v>103</v>
      </c>
    </row>
    <row r="46" spans="1:16" x14ac:dyDescent="0.25">
      <c r="A46" s="14"/>
      <c r="B46" s="28"/>
      <c r="C46" s="28"/>
      <c r="D46" t="s">
        <v>100</v>
      </c>
      <c r="E46" t="s">
        <v>50</v>
      </c>
      <c r="F46">
        <v>1</v>
      </c>
      <c r="G46" s="29">
        <v>0.21</v>
      </c>
      <c r="H46" t="s">
        <v>30</v>
      </c>
      <c r="I46" s="30">
        <f>IFERROR(VLOOKUP(H46,CARTON_LOOKUP!$A:$E,3,0),"")</f>
      </c>
      <c r="J46" s="30">
        <f>IFERROR(VLOOKUP(H46,CARTON_LOOKUP!$A:$E,4,0),"")</f>
      </c>
      <c r="K46" s="30">
        <f>IFERROR(VLOOKUP(H46,CARTON_LOOKUP!$A:$E,5,0),"")</f>
      </c>
      <c r="L46" s="31">
        <f>IFERROR(VLOOKUP(H46,CARTON_LOOKUP!$A:$E,2,0),"")</f>
      </c>
      <c r="M46" t="s">
        <v>101</v>
      </c>
      <c r="N46" t="s">
        <v>102</v>
      </c>
      <c r="O46" t="s">
        <v>103</v>
      </c>
    </row>
    <row r="47" spans="1:16" x14ac:dyDescent="0.25">
      <c r="A47" s="14"/>
      <c r="B47" s="28"/>
      <c r="C47" s="28"/>
      <c r="D47" t="s">
        <v>100</v>
      </c>
      <c r="E47" t="s">
        <v>50</v>
      </c>
      <c r="F47">
        <v>1</v>
      </c>
      <c r="G47" s="29">
        <v>0.21</v>
      </c>
      <c r="H47" t="s">
        <v>30</v>
      </c>
      <c r="I47" s="30">
        <f>IFERROR(VLOOKUP(H47,CARTON_LOOKUP!$A:$E,3,0),"")</f>
      </c>
      <c r="J47" s="30">
        <f>IFERROR(VLOOKUP(H47,CARTON_LOOKUP!$A:$E,4,0),"")</f>
      </c>
      <c r="K47" s="30">
        <f>IFERROR(VLOOKUP(H47,CARTON_LOOKUP!$A:$E,5,0),"")</f>
      </c>
      <c r="L47" s="31">
        <f>IFERROR(VLOOKUP(H47,CARTON_LOOKUP!$A:$E,2,0),"")</f>
      </c>
      <c r="M47" t="s">
        <v>101</v>
      </c>
      <c r="N47" t="s">
        <v>102</v>
      </c>
      <c r="O47" t="s">
        <v>103</v>
      </c>
    </row>
    <row r="48" spans="1:16" x14ac:dyDescent="0.25">
      <c r="A48" s="14"/>
      <c r="B48" s="28"/>
      <c r="C48" s="28"/>
      <c r="D48" t="s">
        <v>100</v>
      </c>
      <c r="E48" t="s">
        <v>50</v>
      </c>
      <c r="F48">
        <v>1</v>
      </c>
      <c r="G48" s="29">
        <v>0.21</v>
      </c>
      <c r="H48" t="s">
        <v>30</v>
      </c>
      <c r="I48" s="30">
        <f>IFERROR(VLOOKUP(H48,CARTON_LOOKUP!$A:$E,3,0),"")</f>
      </c>
      <c r="J48" s="30">
        <f>IFERROR(VLOOKUP(H48,CARTON_LOOKUP!$A:$E,4,0),"")</f>
      </c>
      <c r="K48" s="30">
        <f>IFERROR(VLOOKUP(H48,CARTON_LOOKUP!$A:$E,5,0),"")</f>
      </c>
      <c r="L48" s="31">
        <f>IFERROR(VLOOKUP(H48,CARTON_LOOKUP!$A:$E,2,0),"")</f>
      </c>
      <c r="M48" t="s">
        <v>101</v>
      </c>
      <c r="N48" t="s">
        <v>102</v>
      </c>
      <c r="O48" t="s">
        <v>103</v>
      </c>
    </row>
    <row r="49" spans="1:16" x14ac:dyDescent="0.25">
      <c r="A49" s="14"/>
      <c r="B49" s="28"/>
      <c r="C49" s="28"/>
      <c r="D49" t="s">
        <v>100</v>
      </c>
      <c r="E49" t="s">
        <v>50</v>
      </c>
      <c r="F49">
        <v>1</v>
      </c>
      <c r="G49" s="29">
        <v>0.21</v>
      </c>
      <c r="H49" t="s">
        <v>30</v>
      </c>
      <c r="I49" s="30">
        <f>IFERROR(VLOOKUP(H49,CARTON_LOOKUP!$A:$E,3,0),"")</f>
      </c>
      <c r="J49" s="30">
        <f>IFERROR(VLOOKUP(H49,CARTON_LOOKUP!$A:$E,4,0),"")</f>
      </c>
      <c r="K49" s="30">
        <f>IFERROR(VLOOKUP(H49,CARTON_LOOKUP!$A:$E,5,0),"")</f>
      </c>
      <c r="L49" s="31">
        <f>IFERROR(VLOOKUP(H49,CARTON_LOOKUP!$A:$E,2,0),"")</f>
      </c>
      <c r="M49" t="s">
        <v>101</v>
      </c>
      <c r="N49" t="s">
        <v>102</v>
      </c>
      <c r="O49" t="s">
        <v>103</v>
      </c>
    </row>
    <row r="50" spans="1:16" x14ac:dyDescent="0.25">
      <c r="A50" s="14"/>
      <c r="B50" s="28"/>
      <c r="C50" s="28"/>
      <c r="D50" t="s">
        <v>100</v>
      </c>
      <c r="E50" t="s">
        <v>50</v>
      </c>
      <c r="F50">
        <v>1</v>
      </c>
      <c r="G50" s="29">
        <v>0.21</v>
      </c>
      <c r="H50" t="s">
        <v>30</v>
      </c>
      <c r="I50" s="30">
        <f>IFERROR(VLOOKUP(H50,CARTON_LOOKUP!$A:$E,3,0),"")</f>
      </c>
      <c r="J50" s="30">
        <f>IFERROR(VLOOKUP(H50,CARTON_LOOKUP!$A:$E,4,0),"")</f>
      </c>
      <c r="K50" s="30">
        <f>IFERROR(VLOOKUP(H50,CARTON_LOOKUP!$A:$E,5,0),"")</f>
      </c>
      <c r="L50" s="31">
        <f>IFERROR(VLOOKUP(H50,CARTON_LOOKUP!$A:$E,2,0),"")</f>
      </c>
      <c r="M50" t="s">
        <v>101</v>
      </c>
      <c r="N50" t="s">
        <v>102</v>
      </c>
      <c r="O50" t="s">
        <v>103</v>
      </c>
    </row>
    <row r="51" spans="1:16" x14ac:dyDescent="0.25">
      <c r="A51" s="14"/>
      <c r="B51" s="28"/>
      <c r="C51" s="28"/>
      <c r="D51" t="s">
        <v>100</v>
      </c>
      <c r="E51" t="s">
        <v>50</v>
      </c>
      <c r="F51">
        <v>1</v>
      </c>
      <c r="G51" s="29">
        <v>0.21</v>
      </c>
      <c r="H51" t="s">
        <v>30</v>
      </c>
      <c r="I51" s="30">
        <f>IFERROR(VLOOKUP(H51,CARTON_LOOKUP!$A:$E,3,0),"")</f>
      </c>
      <c r="J51" s="30">
        <f>IFERROR(VLOOKUP(H51,CARTON_LOOKUP!$A:$E,4,0),"")</f>
      </c>
      <c r="K51" s="30">
        <f>IFERROR(VLOOKUP(H51,CARTON_LOOKUP!$A:$E,5,0),"")</f>
      </c>
      <c r="L51" s="31">
        <f>IFERROR(VLOOKUP(H51,CARTON_LOOKUP!$A:$E,2,0),"")</f>
      </c>
      <c r="M51" t="s">
        <v>101</v>
      </c>
      <c r="N51" t="s">
        <v>102</v>
      </c>
      <c r="O51" t="s">
        <v>103</v>
      </c>
    </row>
    <row r="52" spans="1:16" x14ac:dyDescent="0.25">
      <c r="A52" s="14"/>
      <c r="B52" s="28"/>
      <c r="C52" s="28"/>
      <c r="D52" t="s">
        <v>100</v>
      </c>
      <c r="E52" t="s">
        <v>50</v>
      </c>
      <c r="F52">
        <v>1</v>
      </c>
      <c r="G52" s="29">
        <v>0.21</v>
      </c>
      <c r="H52" t="s">
        <v>30</v>
      </c>
      <c r="I52" s="30">
        <f>IFERROR(VLOOKUP(H52,CARTON_LOOKUP!$A:$E,3,0),"")</f>
      </c>
      <c r="J52" s="30">
        <f>IFERROR(VLOOKUP(H52,CARTON_LOOKUP!$A:$E,4,0),"")</f>
      </c>
      <c r="K52" s="30">
        <f>IFERROR(VLOOKUP(H52,CARTON_LOOKUP!$A:$E,5,0),"")</f>
      </c>
      <c r="L52" s="31">
        <f>IFERROR(VLOOKUP(H52,CARTON_LOOKUP!$A:$E,2,0),"")</f>
      </c>
      <c r="M52" t="s">
        <v>101</v>
      </c>
      <c r="N52" t="s">
        <v>102</v>
      </c>
      <c r="O52" t="s">
        <v>103</v>
      </c>
    </row>
    <row r="53" spans="1:16" x14ac:dyDescent="0.25">
      <c r="A53" s="14"/>
      <c r="B53" s="28"/>
      <c r="C53" s="28"/>
      <c r="D53" t="s">
        <v>100</v>
      </c>
      <c r="E53" t="s">
        <v>50</v>
      </c>
      <c r="F53">
        <v>1</v>
      </c>
      <c r="G53" s="29">
        <v>0.21</v>
      </c>
      <c r="H53" t="s">
        <v>30</v>
      </c>
      <c r="I53" s="30">
        <f>IFERROR(VLOOKUP(H53,CARTON_LOOKUP!$A:$E,3,0),"")</f>
      </c>
      <c r="J53" s="30">
        <f>IFERROR(VLOOKUP(H53,CARTON_LOOKUP!$A:$E,4,0),"")</f>
      </c>
      <c r="K53" s="30">
        <f>IFERROR(VLOOKUP(H53,CARTON_LOOKUP!$A:$E,5,0),"")</f>
      </c>
      <c r="L53" s="31">
        <f>IFERROR(VLOOKUP(H53,CARTON_LOOKUP!$A:$E,2,0),"")</f>
      </c>
      <c r="M53" t="s">
        <v>101</v>
      </c>
      <c r="N53" t="s">
        <v>102</v>
      </c>
      <c r="O53" t="s">
        <v>103</v>
      </c>
    </row>
    <row r="54" spans="1:16" x14ac:dyDescent="0.25">
      <c r="A54" s="14"/>
      <c r="B54" s="28"/>
      <c r="C54" s="28"/>
      <c r="D54" t="s">
        <v>100</v>
      </c>
      <c r="E54" t="s">
        <v>50</v>
      </c>
      <c r="F54">
        <v>1</v>
      </c>
      <c r="G54" s="29">
        <v>0.21</v>
      </c>
      <c r="H54" t="s">
        <v>30</v>
      </c>
      <c r="I54" s="30">
        <f>IFERROR(VLOOKUP(H54,CARTON_LOOKUP!$A:$E,3,0),"")</f>
      </c>
      <c r="J54" s="30">
        <f>IFERROR(VLOOKUP(H54,CARTON_LOOKUP!$A:$E,4,0),"")</f>
      </c>
      <c r="K54" s="30">
        <f>IFERROR(VLOOKUP(H54,CARTON_LOOKUP!$A:$E,5,0),"")</f>
      </c>
      <c r="L54" s="31">
        <f>IFERROR(VLOOKUP(H54,CARTON_LOOKUP!$A:$E,2,0),"")</f>
      </c>
      <c r="M54" t="s">
        <v>101</v>
      </c>
      <c r="N54" t="s">
        <v>102</v>
      </c>
      <c r="O54" t="s">
        <v>103</v>
      </c>
    </row>
    <row r="55" spans="1:16" x14ac:dyDescent="0.25">
      <c r="A55" s="14"/>
      <c r="B55" s="28"/>
      <c r="C55" s="28"/>
      <c r="D55" t="s">
        <v>100</v>
      </c>
      <c r="E55" t="s">
        <v>50</v>
      </c>
      <c r="F55">
        <v>1</v>
      </c>
      <c r="G55" s="29">
        <v>0.21</v>
      </c>
      <c r="H55" t="s">
        <v>30</v>
      </c>
      <c r="I55" s="30">
        <f>IFERROR(VLOOKUP(H55,CARTON_LOOKUP!$A:$E,3,0),"")</f>
      </c>
      <c r="J55" s="30">
        <f>IFERROR(VLOOKUP(H55,CARTON_LOOKUP!$A:$E,4,0),"")</f>
      </c>
      <c r="K55" s="30">
        <f>IFERROR(VLOOKUP(H55,CARTON_LOOKUP!$A:$E,5,0),"")</f>
      </c>
      <c r="L55" s="31">
        <f>IFERROR(VLOOKUP(H55,CARTON_LOOKUP!$A:$E,2,0),"")</f>
      </c>
      <c r="M55" t="s">
        <v>101</v>
      </c>
      <c r="N55" t="s">
        <v>102</v>
      </c>
      <c r="O55" t="s">
        <v>103</v>
      </c>
    </row>
    <row r="56" spans="1:16" x14ac:dyDescent="0.25">
      <c r="A56" s="14"/>
      <c r="B56" s="28"/>
      <c r="C56" s="28"/>
      <c r="D56" t="s">
        <v>100</v>
      </c>
      <c r="E56" t="s">
        <v>50</v>
      </c>
      <c r="F56">
        <v>1</v>
      </c>
      <c r="G56" s="29">
        <v>0.21</v>
      </c>
      <c r="H56" t="s">
        <v>30</v>
      </c>
      <c r="I56" s="30">
        <f>IFERROR(VLOOKUP(H56,CARTON_LOOKUP!$A:$E,3,0),"")</f>
      </c>
      <c r="J56" s="30">
        <f>IFERROR(VLOOKUP(H56,CARTON_LOOKUP!$A:$E,4,0),"")</f>
      </c>
      <c r="K56" s="30">
        <f>IFERROR(VLOOKUP(H56,CARTON_LOOKUP!$A:$E,5,0),"")</f>
      </c>
      <c r="L56" s="31">
        <f>IFERROR(VLOOKUP(H56,CARTON_LOOKUP!$A:$E,2,0),"")</f>
      </c>
      <c r="M56" t="s">
        <v>101</v>
      </c>
      <c r="N56" t="s">
        <v>102</v>
      </c>
      <c r="O56" t="s">
        <v>103</v>
      </c>
    </row>
    <row r="57" spans="1:16" x14ac:dyDescent="0.25">
      <c r="A57" s="14"/>
      <c r="B57" s="28"/>
      <c r="C57" s="28"/>
      <c r="D57" t="s">
        <v>100</v>
      </c>
      <c r="E57" t="s">
        <v>50</v>
      </c>
      <c r="F57">
        <v>1</v>
      </c>
      <c r="G57" s="29">
        <v>0.21</v>
      </c>
      <c r="H57" t="s">
        <v>30</v>
      </c>
      <c r="I57" s="30">
        <f>IFERROR(VLOOKUP(H57,CARTON_LOOKUP!$A:$E,3,0),"")</f>
      </c>
      <c r="J57" s="30">
        <f>IFERROR(VLOOKUP(H57,CARTON_LOOKUP!$A:$E,4,0),"")</f>
      </c>
      <c r="K57" s="30">
        <f>IFERROR(VLOOKUP(H57,CARTON_LOOKUP!$A:$E,5,0),"")</f>
      </c>
      <c r="L57" s="31">
        <f>IFERROR(VLOOKUP(H57,CARTON_LOOKUP!$A:$E,2,0),"")</f>
      </c>
      <c r="M57" t="s">
        <v>101</v>
      </c>
      <c r="N57" t="s">
        <v>102</v>
      </c>
      <c r="O57" t="s">
        <v>103</v>
      </c>
    </row>
    <row r="58" spans="1:16" x14ac:dyDescent="0.25">
      <c r="A58" s="14"/>
      <c r="B58" s="28"/>
      <c r="C58" s="28"/>
      <c r="D58" t="s">
        <v>100</v>
      </c>
      <c r="E58" t="s">
        <v>50</v>
      </c>
      <c r="F58">
        <v>1</v>
      </c>
      <c r="G58" s="29">
        <v>0.21</v>
      </c>
      <c r="H58" t="s">
        <v>30</v>
      </c>
      <c r="I58" s="30">
        <f>IFERROR(VLOOKUP(H58,CARTON_LOOKUP!$A:$E,3,0),"")</f>
      </c>
      <c r="J58" s="30">
        <f>IFERROR(VLOOKUP(H58,CARTON_LOOKUP!$A:$E,4,0),"")</f>
      </c>
      <c r="K58" s="30">
        <f>IFERROR(VLOOKUP(H58,CARTON_LOOKUP!$A:$E,5,0),"")</f>
      </c>
      <c r="L58" s="31">
        <f>IFERROR(VLOOKUP(H58,CARTON_LOOKUP!$A:$E,2,0),"")</f>
      </c>
      <c r="M58" t="s">
        <v>101</v>
      </c>
      <c r="N58" t="s">
        <v>102</v>
      </c>
      <c r="O58" t="s">
        <v>103</v>
      </c>
    </row>
    <row r="59" spans="1:16" x14ac:dyDescent="0.25">
      <c r="A59" s="14"/>
      <c r="B59" s="28"/>
      <c r="C59" s="28"/>
      <c r="D59" t="s">
        <v>100</v>
      </c>
      <c r="E59" t="s">
        <v>50</v>
      </c>
      <c r="F59">
        <v>1</v>
      </c>
      <c r="G59" s="29">
        <v>0.21</v>
      </c>
      <c r="H59" t="s">
        <v>30</v>
      </c>
      <c r="I59" s="30">
        <f>IFERROR(VLOOKUP(H59,CARTON_LOOKUP!$A:$E,3,0),"")</f>
      </c>
      <c r="J59" s="30">
        <f>IFERROR(VLOOKUP(H59,CARTON_LOOKUP!$A:$E,4,0),"")</f>
      </c>
      <c r="K59" s="30">
        <f>IFERROR(VLOOKUP(H59,CARTON_LOOKUP!$A:$E,5,0),"")</f>
      </c>
      <c r="L59" s="31">
        <f>IFERROR(VLOOKUP(H59,CARTON_LOOKUP!$A:$E,2,0),"")</f>
      </c>
      <c r="M59" t="s">
        <v>101</v>
      </c>
      <c r="N59" t="s">
        <v>102</v>
      </c>
      <c r="O59" t="s">
        <v>103</v>
      </c>
    </row>
    <row r="60" spans="1:16" x14ac:dyDescent="0.25">
      <c r="A60" s="14"/>
      <c r="B60" s="28"/>
      <c r="C60" s="28"/>
      <c r="D60" t="s">
        <v>100</v>
      </c>
      <c r="E60" t="s">
        <v>50</v>
      </c>
      <c r="F60">
        <v>1</v>
      </c>
      <c r="G60" s="29">
        <v>0.21</v>
      </c>
      <c r="H60" t="s">
        <v>30</v>
      </c>
      <c r="I60" s="30">
        <f>IFERROR(VLOOKUP(H60,CARTON_LOOKUP!$A:$E,3,0),"")</f>
      </c>
      <c r="J60" s="30">
        <f>IFERROR(VLOOKUP(H60,CARTON_LOOKUP!$A:$E,4,0),"")</f>
      </c>
      <c r="K60" s="30">
        <f>IFERROR(VLOOKUP(H60,CARTON_LOOKUP!$A:$E,5,0),"")</f>
      </c>
      <c r="L60" s="31">
        <f>IFERROR(VLOOKUP(H60,CARTON_LOOKUP!$A:$E,2,0),"")</f>
      </c>
      <c r="M60" t="s">
        <v>101</v>
      </c>
      <c r="N60" t="s">
        <v>102</v>
      </c>
      <c r="O60" t="s">
        <v>103</v>
      </c>
    </row>
    <row r="61" spans="1:16" x14ac:dyDescent="0.25">
      <c r="A61" s="14"/>
      <c r="B61" s="28"/>
      <c r="C61" s="28"/>
      <c r="D61" t="s">
        <v>100</v>
      </c>
      <c r="E61" t="s">
        <v>50</v>
      </c>
      <c r="F61">
        <v>1</v>
      </c>
      <c r="G61" s="29">
        <v>0.21</v>
      </c>
      <c r="H61" t="s">
        <v>30</v>
      </c>
      <c r="I61" s="30">
        <f>IFERROR(VLOOKUP(H61,CARTON_LOOKUP!$A:$E,3,0),"")</f>
      </c>
      <c r="J61" s="30">
        <f>IFERROR(VLOOKUP(H61,CARTON_LOOKUP!$A:$E,4,0),"")</f>
      </c>
      <c r="K61" s="30">
        <f>IFERROR(VLOOKUP(H61,CARTON_LOOKUP!$A:$E,5,0),"")</f>
      </c>
      <c r="L61" s="31">
        <f>IFERROR(VLOOKUP(H61,CARTON_LOOKUP!$A:$E,2,0),"")</f>
      </c>
      <c r="M61" t="s">
        <v>101</v>
      </c>
      <c r="N61" t="s">
        <v>102</v>
      </c>
      <c r="O61" t="s">
        <v>103</v>
      </c>
    </row>
    <row r="62" spans="1:16" x14ac:dyDescent="0.25">
      <c r="A62" s="14"/>
      <c r="B62" s="28"/>
      <c r="C62" s="28"/>
      <c r="D62" t="s">
        <v>100</v>
      </c>
      <c r="E62" t="s">
        <v>50</v>
      </c>
      <c r="F62">
        <v>1</v>
      </c>
      <c r="G62" s="29">
        <v>0.21</v>
      </c>
      <c r="H62" t="s">
        <v>30</v>
      </c>
      <c r="I62" s="30">
        <f>IFERROR(VLOOKUP(H62,CARTON_LOOKUP!$A:$E,3,0),"")</f>
      </c>
      <c r="J62" s="30">
        <f>IFERROR(VLOOKUP(H62,CARTON_LOOKUP!$A:$E,4,0),"")</f>
      </c>
      <c r="K62" s="30">
        <f>IFERROR(VLOOKUP(H62,CARTON_LOOKUP!$A:$E,5,0),"")</f>
      </c>
      <c r="L62" s="31">
        <f>IFERROR(VLOOKUP(H62,CARTON_LOOKUP!$A:$E,2,0),"")</f>
      </c>
      <c r="M62" t="s">
        <v>101</v>
      </c>
      <c r="N62" t="s">
        <v>102</v>
      </c>
      <c r="O62" t="s">
        <v>103</v>
      </c>
    </row>
    <row r="63" spans="1:16" x14ac:dyDescent="0.25">
      <c r="A63" s="14"/>
      <c r="B63" s="28"/>
      <c r="C63" s="28"/>
      <c r="D63" t="s">
        <v>100</v>
      </c>
      <c r="E63" t="s">
        <v>50</v>
      </c>
      <c r="F63">
        <v>1</v>
      </c>
      <c r="G63" s="29">
        <v>0.21</v>
      </c>
      <c r="H63" t="s">
        <v>30</v>
      </c>
      <c r="I63" s="30">
        <f>IFERROR(VLOOKUP(H63,CARTON_LOOKUP!$A:$E,3,0),"")</f>
      </c>
      <c r="J63" s="30">
        <f>IFERROR(VLOOKUP(H63,CARTON_LOOKUP!$A:$E,4,0),"")</f>
      </c>
      <c r="K63" s="30">
        <f>IFERROR(VLOOKUP(H63,CARTON_LOOKUP!$A:$E,5,0),"")</f>
      </c>
      <c r="L63" s="31">
        <f>IFERROR(VLOOKUP(H63,CARTON_LOOKUP!$A:$E,2,0),"")</f>
      </c>
      <c r="M63" t="s">
        <v>101</v>
      </c>
      <c r="N63" t="s">
        <v>102</v>
      </c>
      <c r="O63" t="s">
        <v>103</v>
      </c>
    </row>
    <row r="64" spans="1:16" x14ac:dyDescent="0.25">
      <c r="A64" s="14"/>
      <c r="B64" s="28"/>
      <c r="C64" s="28"/>
      <c r="D64" t="s">
        <v>100</v>
      </c>
      <c r="E64" t="s">
        <v>50</v>
      </c>
      <c r="F64">
        <v>1</v>
      </c>
      <c r="G64" s="29">
        <v>0.21</v>
      </c>
      <c r="H64" t="s">
        <v>30</v>
      </c>
      <c r="I64" s="30">
        <f>IFERROR(VLOOKUP(H64,CARTON_LOOKUP!$A:$E,3,0),"")</f>
      </c>
      <c r="J64" s="30">
        <f>IFERROR(VLOOKUP(H64,CARTON_LOOKUP!$A:$E,4,0),"")</f>
      </c>
      <c r="K64" s="30">
        <f>IFERROR(VLOOKUP(H64,CARTON_LOOKUP!$A:$E,5,0),"")</f>
      </c>
      <c r="L64" s="31">
        <f>IFERROR(VLOOKUP(H64,CARTON_LOOKUP!$A:$E,2,0),"")</f>
      </c>
      <c r="M64" t="s">
        <v>101</v>
      </c>
      <c r="N64" t="s">
        <v>102</v>
      </c>
      <c r="O64" t="s">
        <v>103</v>
      </c>
    </row>
    <row r="65" spans="1:16" x14ac:dyDescent="0.25">
      <c r="A65" s="14"/>
      <c r="B65" s="28"/>
      <c r="C65" s="28"/>
      <c r="D65" t="s">
        <v>100</v>
      </c>
      <c r="E65" t="s">
        <v>50</v>
      </c>
      <c r="F65">
        <v>1</v>
      </c>
      <c r="G65" s="29">
        <v>0.21</v>
      </c>
      <c r="H65" t="s">
        <v>30</v>
      </c>
      <c r="I65" s="30">
        <f>IFERROR(VLOOKUP(H65,CARTON_LOOKUP!$A:$E,3,0),"")</f>
      </c>
      <c r="J65" s="30">
        <f>IFERROR(VLOOKUP(H65,CARTON_LOOKUP!$A:$E,4,0),"")</f>
      </c>
      <c r="K65" s="30">
        <f>IFERROR(VLOOKUP(H65,CARTON_LOOKUP!$A:$E,5,0),"")</f>
      </c>
      <c r="L65" s="31">
        <f>IFERROR(VLOOKUP(H65,CARTON_LOOKUP!$A:$E,2,0),"")</f>
      </c>
      <c r="M65" t="s">
        <v>101</v>
      </c>
      <c r="N65" t="s">
        <v>102</v>
      </c>
      <c r="O65" t="s">
        <v>103</v>
      </c>
    </row>
    <row r="66" spans="1:16" x14ac:dyDescent="0.25">
      <c r="A66" s="14"/>
      <c r="B66" s="28"/>
      <c r="C66" s="28"/>
      <c r="D66" t="s">
        <v>100</v>
      </c>
      <c r="E66" t="s">
        <v>50</v>
      </c>
      <c r="F66">
        <v>1</v>
      </c>
      <c r="G66" s="29">
        <v>0.21</v>
      </c>
      <c r="H66" t="s">
        <v>30</v>
      </c>
      <c r="I66" s="30">
        <f>IFERROR(VLOOKUP(H66,CARTON_LOOKUP!$A:$E,3,0),"")</f>
      </c>
      <c r="J66" s="30">
        <f>IFERROR(VLOOKUP(H66,CARTON_LOOKUP!$A:$E,4,0),"")</f>
      </c>
      <c r="K66" s="30">
        <f>IFERROR(VLOOKUP(H66,CARTON_LOOKUP!$A:$E,5,0),"")</f>
      </c>
      <c r="L66" s="31">
        <f>IFERROR(VLOOKUP(H66,CARTON_LOOKUP!$A:$E,2,0),"")</f>
      </c>
      <c r="M66" t="s">
        <v>101</v>
      </c>
      <c r="N66" t="s">
        <v>102</v>
      </c>
      <c r="O66" t="s">
        <v>103</v>
      </c>
    </row>
    <row r="67" spans="1:16" x14ac:dyDescent="0.25">
      <c r="A67" s="14"/>
      <c r="B67" s="28"/>
      <c r="C67" s="28"/>
      <c r="D67" t="s">
        <v>100</v>
      </c>
      <c r="E67" t="s">
        <v>50</v>
      </c>
      <c r="F67">
        <v>1</v>
      </c>
      <c r="G67" s="29">
        <v>0.21</v>
      </c>
      <c r="H67" t="s">
        <v>30</v>
      </c>
      <c r="I67" s="30">
        <f>IFERROR(VLOOKUP(H67,CARTON_LOOKUP!$A:$E,3,0),"")</f>
      </c>
      <c r="J67" s="30">
        <f>IFERROR(VLOOKUP(H67,CARTON_LOOKUP!$A:$E,4,0),"")</f>
      </c>
      <c r="K67" s="30">
        <f>IFERROR(VLOOKUP(H67,CARTON_LOOKUP!$A:$E,5,0),"")</f>
      </c>
      <c r="L67" s="31">
        <f>IFERROR(VLOOKUP(H67,CARTON_LOOKUP!$A:$E,2,0),"")</f>
      </c>
      <c r="M67" t="s">
        <v>101</v>
      </c>
      <c r="N67" t="s">
        <v>102</v>
      </c>
      <c r="O67" t="s">
        <v>103</v>
      </c>
    </row>
    <row r="68" spans="1:16" x14ac:dyDescent="0.25">
      <c r="A68" s="14"/>
      <c r="B68" s="28"/>
      <c r="C68" s="28"/>
      <c r="D68" t="s">
        <v>100</v>
      </c>
      <c r="E68" t="s">
        <v>50</v>
      </c>
      <c r="F68">
        <v>1</v>
      </c>
      <c r="G68" s="29">
        <v>0.21</v>
      </c>
      <c r="H68" t="s">
        <v>30</v>
      </c>
      <c r="I68" s="30">
        <f>IFERROR(VLOOKUP(H68,CARTON_LOOKUP!$A:$E,3,0),"")</f>
      </c>
      <c r="J68" s="30">
        <f>IFERROR(VLOOKUP(H68,CARTON_LOOKUP!$A:$E,4,0),"")</f>
      </c>
      <c r="K68" s="30">
        <f>IFERROR(VLOOKUP(H68,CARTON_LOOKUP!$A:$E,5,0),"")</f>
      </c>
      <c r="L68" s="31">
        <f>IFERROR(VLOOKUP(H68,CARTON_LOOKUP!$A:$E,2,0),"")</f>
      </c>
      <c r="M68" t="s">
        <v>101</v>
      </c>
      <c r="N68" t="s">
        <v>102</v>
      </c>
      <c r="O68" t="s">
        <v>103</v>
      </c>
    </row>
    <row r="69" spans="1:16" x14ac:dyDescent="0.25">
      <c r="A69" s="14"/>
      <c r="B69" s="28"/>
      <c r="C69" s="28"/>
      <c r="D69" t="s">
        <v>100</v>
      </c>
      <c r="E69" t="s">
        <v>50</v>
      </c>
      <c r="F69">
        <v>1</v>
      </c>
      <c r="G69" s="29">
        <v>0.21</v>
      </c>
      <c r="H69" t="s">
        <v>30</v>
      </c>
      <c r="I69" s="30">
        <f>IFERROR(VLOOKUP(H69,CARTON_LOOKUP!$A:$E,3,0),"")</f>
      </c>
      <c r="J69" s="30">
        <f>IFERROR(VLOOKUP(H69,CARTON_LOOKUP!$A:$E,4,0),"")</f>
      </c>
      <c r="K69" s="30">
        <f>IFERROR(VLOOKUP(H69,CARTON_LOOKUP!$A:$E,5,0),"")</f>
      </c>
      <c r="L69" s="31">
        <f>IFERROR(VLOOKUP(H69,CARTON_LOOKUP!$A:$E,2,0),"")</f>
      </c>
      <c r="M69" t="s">
        <v>101</v>
      </c>
      <c r="N69" t="s">
        <v>102</v>
      </c>
      <c r="O69" t="s">
        <v>103</v>
      </c>
    </row>
    <row r="70" spans="1:16" x14ac:dyDescent="0.25">
      <c r="A70" s="14"/>
      <c r="B70" s="28"/>
      <c r="C70" s="28"/>
      <c r="D70" t="s">
        <v>100</v>
      </c>
      <c r="E70" t="s">
        <v>50</v>
      </c>
      <c r="F70">
        <v>1</v>
      </c>
      <c r="G70" s="29">
        <v>0.21</v>
      </c>
      <c r="H70" t="s">
        <v>30</v>
      </c>
      <c r="I70" s="30">
        <f>IFERROR(VLOOKUP(H70,CARTON_LOOKUP!$A:$E,3,0),"")</f>
      </c>
      <c r="J70" s="30">
        <f>IFERROR(VLOOKUP(H70,CARTON_LOOKUP!$A:$E,4,0),"")</f>
      </c>
      <c r="K70" s="30">
        <f>IFERROR(VLOOKUP(H70,CARTON_LOOKUP!$A:$E,5,0),"")</f>
      </c>
      <c r="L70" s="31">
        <f>IFERROR(VLOOKUP(H70,CARTON_LOOKUP!$A:$E,2,0),"")</f>
      </c>
      <c r="M70" t="s">
        <v>101</v>
      </c>
      <c r="N70" t="s">
        <v>102</v>
      </c>
      <c r="O70" t="s">
        <v>103</v>
      </c>
    </row>
    <row r="71" spans="1:16" x14ac:dyDescent="0.25">
      <c r="A71" s="14"/>
      <c r="B71" s="28"/>
      <c r="C71" s="28"/>
      <c r="D71" t="s">
        <v>100</v>
      </c>
      <c r="E71" t="s">
        <v>50</v>
      </c>
      <c r="F71">
        <v>1</v>
      </c>
      <c r="G71" s="29">
        <v>0.21</v>
      </c>
      <c r="H71" t="s">
        <v>30</v>
      </c>
      <c r="I71" s="30">
        <f>IFERROR(VLOOKUP(H71,CARTON_LOOKUP!$A:$E,3,0),"")</f>
      </c>
      <c r="J71" s="30">
        <f>IFERROR(VLOOKUP(H71,CARTON_LOOKUP!$A:$E,4,0),"")</f>
      </c>
      <c r="K71" s="30">
        <f>IFERROR(VLOOKUP(H71,CARTON_LOOKUP!$A:$E,5,0),"")</f>
      </c>
      <c r="L71" s="31">
        <f>IFERROR(VLOOKUP(H71,CARTON_LOOKUP!$A:$E,2,0),"")</f>
      </c>
      <c r="M71" t="s">
        <v>101</v>
      </c>
      <c r="N71" t="s">
        <v>102</v>
      </c>
      <c r="O71" t="s">
        <v>103</v>
      </c>
    </row>
    <row r="72" spans="1:16" x14ac:dyDescent="0.25">
      <c r="A72" s="14"/>
      <c r="B72" s="28"/>
      <c r="C72" s="28"/>
      <c r="D72" t="s">
        <v>100</v>
      </c>
      <c r="E72" t="s">
        <v>50</v>
      </c>
      <c r="F72">
        <v>1</v>
      </c>
      <c r="G72" s="29">
        <v>0.21</v>
      </c>
      <c r="H72" t="s">
        <v>30</v>
      </c>
      <c r="I72" s="30">
        <f>IFERROR(VLOOKUP(H72,CARTON_LOOKUP!$A:$E,3,0),"")</f>
      </c>
      <c r="J72" s="30">
        <f>IFERROR(VLOOKUP(H72,CARTON_LOOKUP!$A:$E,4,0),"")</f>
      </c>
      <c r="K72" s="30">
        <f>IFERROR(VLOOKUP(H72,CARTON_LOOKUP!$A:$E,5,0),"")</f>
      </c>
      <c r="L72" s="31">
        <f>IFERROR(VLOOKUP(H72,CARTON_LOOKUP!$A:$E,2,0),"")</f>
      </c>
      <c r="M72" t="s">
        <v>101</v>
      </c>
      <c r="N72" t="s">
        <v>102</v>
      </c>
      <c r="O72" t="s">
        <v>103</v>
      </c>
    </row>
    <row r="73" spans="1:16" x14ac:dyDescent="0.25">
      <c r="A73" s="14"/>
      <c r="B73" s="28"/>
      <c r="C73" s="28"/>
      <c r="D73" t="s">
        <v>100</v>
      </c>
      <c r="E73" t="s">
        <v>50</v>
      </c>
      <c r="F73">
        <v>1</v>
      </c>
      <c r="G73" s="29">
        <v>0.21</v>
      </c>
      <c r="H73" t="s">
        <v>30</v>
      </c>
      <c r="I73" s="30">
        <f>IFERROR(VLOOKUP(H73,CARTON_LOOKUP!$A:$E,3,0),"")</f>
      </c>
      <c r="J73" s="30">
        <f>IFERROR(VLOOKUP(H73,CARTON_LOOKUP!$A:$E,4,0),"")</f>
      </c>
      <c r="K73" s="30">
        <f>IFERROR(VLOOKUP(H73,CARTON_LOOKUP!$A:$E,5,0),"")</f>
      </c>
      <c r="L73" s="31">
        <f>IFERROR(VLOOKUP(H73,CARTON_LOOKUP!$A:$E,2,0),"")</f>
      </c>
      <c r="M73" t="s">
        <v>101</v>
      </c>
      <c r="N73" t="s">
        <v>102</v>
      </c>
      <c r="O73" t="s">
        <v>103</v>
      </c>
    </row>
    <row r="74" spans="1:16" x14ac:dyDescent="0.25">
      <c r="A74" s="14"/>
      <c r="B74" s="28"/>
      <c r="C74" s="28"/>
      <c r="D74" t="s">
        <v>100</v>
      </c>
      <c r="E74" t="s">
        <v>50</v>
      </c>
      <c r="F74">
        <v>1</v>
      </c>
      <c r="G74" s="29">
        <v>0.21</v>
      </c>
      <c r="H74" t="s">
        <v>30</v>
      </c>
      <c r="I74" s="30">
        <f>IFERROR(VLOOKUP(H74,CARTON_LOOKUP!$A:$E,3,0),"")</f>
      </c>
      <c r="J74" s="30">
        <f>IFERROR(VLOOKUP(H74,CARTON_LOOKUP!$A:$E,4,0),"")</f>
      </c>
      <c r="K74" s="30">
        <f>IFERROR(VLOOKUP(H74,CARTON_LOOKUP!$A:$E,5,0),"")</f>
      </c>
      <c r="L74" s="31">
        <f>IFERROR(VLOOKUP(H74,CARTON_LOOKUP!$A:$E,2,0),"")</f>
      </c>
      <c r="M74" t="s">
        <v>101</v>
      </c>
      <c r="N74" t="s">
        <v>102</v>
      </c>
      <c r="O74" t="s">
        <v>103</v>
      </c>
    </row>
    <row r="75" spans="1:16" x14ac:dyDescent="0.25">
      <c r="A75" s="14"/>
      <c r="B75" s="28"/>
      <c r="C75" s="28"/>
      <c r="D75" t="s">
        <v>100</v>
      </c>
      <c r="E75" t="s">
        <v>50</v>
      </c>
      <c r="F75">
        <v>1</v>
      </c>
      <c r="G75" s="29">
        <v>0.21</v>
      </c>
      <c r="H75" t="s">
        <v>30</v>
      </c>
      <c r="I75" s="30">
        <f>IFERROR(VLOOKUP(H75,CARTON_LOOKUP!$A:$E,3,0),"")</f>
      </c>
      <c r="J75" s="30">
        <f>IFERROR(VLOOKUP(H75,CARTON_LOOKUP!$A:$E,4,0),"")</f>
      </c>
      <c r="K75" s="30">
        <f>IFERROR(VLOOKUP(H75,CARTON_LOOKUP!$A:$E,5,0),"")</f>
      </c>
      <c r="L75" s="31">
        <f>IFERROR(VLOOKUP(H75,CARTON_LOOKUP!$A:$E,2,0),"")</f>
      </c>
      <c r="M75" t="s">
        <v>101</v>
      </c>
      <c r="N75" t="s">
        <v>102</v>
      </c>
      <c r="O75" t="s">
        <v>103</v>
      </c>
    </row>
    <row r="76" spans="1:16" x14ac:dyDescent="0.25">
      <c r="A76" s="14"/>
      <c r="B76" s="28"/>
      <c r="C76" s="28"/>
      <c r="D76" t="s">
        <v>100</v>
      </c>
      <c r="E76" t="s">
        <v>50</v>
      </c>
      <c r="F76">
        <v>1</v>
      </c>
      <c r="G76" s="29">
        <v>0.21</v>
      </c>
      <c r="H76" t="s">
        <v>30</v>
      </c>
      <c r="I76" s="30">
        <f>IFERROR(VLOOKUP(H76,CARTON_LOOKUP!$A:$E,3,0),"")</f>
      </c>
      <c r="J76" s="30">
        <f>IFERROR(VLOOKUP(H76,CARTON_LOOKUP!$A:$E,4,0),"")</f>
      </c>
      <c r="K76" s="30">
        <f>IFERROR(VLOOKUP(H76,CARTON_LOOKUP!$A:$E,5,0),"")</f>
      </c>
      <c r="L76" s="31">
        <f>IFERROR(VLOOKUP(H76,CARTON_LOOKUP!$A:$E,2,0),"")</f>
      </c>
      <c r="M76" t="s">
        <v>101</v>
      </c>
      <c r="N76" t="s">
        <v>102</v>
      </c>
      <c r="O76" t="s">
        <v>103</v>
      </c>
    </row>
    <row r="77" spans="1:16" x14ac:dyDescent="0.25">
      <c r="A77" s="14"/>
      <c r="B77" s="28"/>
      <c r="C77" s="28"/>
      <c r="D77" t="s">
        <v>100</v>
      </c>
      <c r="E77" t="s">
        <v>50</v>
      </c>
      <c r="F77">
        <v>1</v>
      </c>
      <c r="G77" s="29">
        <v>0.21</v>
      </c>
      <c r="H77" t="s">
        <v>30</v>
      </c>
      <c r="I77" s="30">
        <f>IFERROR(VLOOKUP(H77,CARTON_LOOKUP!$A:$E,3,0),"")</f>
      </c>
      <c r="J77" s="30">
        <f>IFERROR(VLOOKUP(H77,CARTON_LOOKUP!$A:$E,4,0),"")</f>
      </c>
      <c r="K77" s="30">
        <f>IFERROR(VLOOKUP(H77,CARTON_LOOKUP!$A:$E,5,0),"")</f>
      </c>
      <c r="L77" s="31">
        <f>IFERROR(VLOOKUP(H77,CARTON_LOOKUP!$A:$E,2,0),"")</f>
      </c>
      <c r="M77" t="s">
        <v>101</v>
      </c>
      <c r="N77" t="s">
        <v>102</v>
      </c>
      <c r="O77" t="s">
        <v>103</v>
      </c>
    </row>
    <row r="78" spans="1:16" x14ac:dyDescent="0.25">
      <c r="A78" s="14"/>
      <c r="B78" s="28"/>
      <c r="C78" s="28"/>
      <c r="D78" t="s">
        <v>100</v>
      </c>
      <c r="E78" t="s">
        <v>50</v>
      </c>
      <c r="F78">
        <v>1</v>
      </c>
      <c r="G78" s="29">
        <v>0.21</v>
      </c>
      <c r="H78" t="s">
        <v>30</v>
      </c>
      <c r="I78" s="30">
        <f>IFERROR(VLOOKUP(H78,CARTON_LOOKUP!$A:$E,3,0),"")</f>
      </c>
      <c r="J78" s="30">
        <f>IFERROR(VLOOKUP(H78,CARTON_LOOKUP!$A:$E,4,0),"")</f>
      </c>
      <c r="K78" s="30">
        <f>IFERROR(VLOOKUP(H78,CARTON_LOOKUP!$A:$E,5,0),"")</f>
      </c>
      <c r="L78" s="31">
        <f>IFERROR(VLOOKUP(H78,CARTON_LOOKUP!$A:$E,2,0),"")</f>
      </c>
      <c r="M78" t="s">
        <v>101</v>
      </c>
      <c r="N78" t="s">
        <v>102</v>
      </c>
      <c r="O78" t="s">
        <v>103</v>
      </c>
    </row>
    <row r="79" spans="1:16" x14ac:dyDescent="0.25">
      <c r="A79" s="14"/>
      <c r="B79" s="28"/>
      <c r="C79" s="28"/>
      <c r="D79" t="s">
        <v>100</v>
      </c>
      <c r="E79" t="s">
        <v>50</v>
      </c>
      <c r="F79">
        <v>1</v>
      </c>
      <c r="G79" s="29">
        <v>0.21</v>
      </c>
      <c r="H79" t="s">
        <v>30</v>
      </c>
      <c r="I79" s="30">
        <f>IFERROR(VLOOKUP(H79,CARTON_LOOKUP!$A:$E,3,0),"")</f>
      </c>
      <c r="J79" s="30">
        <f>IFERROR(VLOOKUP(H79,CARTON_LOOKUP!$A:$E,4,0),"")</f>
      </c>
      <c r="K79" s="30">
        <f>IFERROR(VLOOKUP(H79,CARTON_LOOKUP!$A:$E,5,0),"")</f>
      </c>
      <c r="L79" s="31">
        <f>IFERROR(VLOOKUP(H79,CARTON_LOOKUP!$A:$E,2,0),"")</f>
      </c>
      <c r="M79" t="s">
        <v>101</v>
      </c>
      <c r="N79" t="s">
        <v>102</v>
      </c>
      <c r="O79" t="s">
        <v>103</v>
      </c>
    </row>
    <row r="80" spans="1:16" x14ac:dyDescent="0.25">
      <c r="A80" s="14"/>
      <c r="B80" s="28"/>
      <c r="C80" s="28"/>
      <c r="D80" t="s">
        <v>100</v>
      </c>
      <c r="E80" t="s">
        <v>50</v>
      </c>
      <c r="F80">
        <v>1</v>
      </c>
      <c r="G80" s="29">
        <v>0.21</v>
      </c>
      <c r="H80" t="s">
        <v>30</v>
      </c>
      <c r="I80" s="30">
        <f>IFERROR(VLOOKUP(H80,CARTON_LOOKUP!$A:$E,3,0),"")</f>
      </c>
      <c r="J80" s="30">
        <f>IFERROR(VLOOKUP(H80,CARTON_LOOKUP!$A:$E,4,0),"")</f>
      </c>
      <c r="K80" s="30">
        <f>IFERROR(VLOOKUP(H80,CARTON_LOOKUP!$A:$E,5,0),"")</f>
      </c>
      <c r="L80" s="31">
        <f>IFERROR(VLOOKUP(H80,CARTON_LOOKUP!$A:$E,2,0),"")</f>
      </c>
      <c r="M80" t="s">
        <v>101</v>
      </c>
      <c r="N80" t="s">
        <v>102</v>
      </c>
      <c r="O80" t="s">
        <v>103</v>
      </c>
    </row>
    <row r="81" spans="1:16" x14ac:dyDescent="0.25">
      <c r="A81" s="14"/>
      <c r="B81" s="28"/>
      <c r="C81" s="28"/>
      <c r="D81" t="s">
        <v>100</v>
      </c>
      <c r="E81" t="s">
        <v>50</v>
      </c>
      <c r="F81">
        <v>1</v>
      </c>
      <c r="G81" s="29">
        <v>0.21</v>
      </c>
      <c r="H81" t="s">
        <v>30</v>
      </c>
      <c r="I81" s="30">
        <f>IFERROR(VLOOKUP(H81,CARTON_LOOKUP!$A:$E,3,0),"")</f>
      </c>
      <c r="J81" s="30">
        <f>IFERROR(VLOOKUP(H81,CARTON_LOOKUP!$A:$E,4,0),"")</f>
      </c>
      <c r="K81" s="30">
        <f>IFERROR(VLOOKUP(H81,CARTON_LOOKUP!$A:$E,5,0),"")</f>
      </c>
      <c r="L81" s="31">
        <f>IFERROR(VLOOKUP(H81,CARTON_LOOKUP!$A:$E,2,0),"")</f>
      </c>
      <c r="M81" t="s">
        <v>101</v>
      </c>
      <c r="N81" t="s">
        <v>102</v>
      </c>
      <c r="O81" t="s">
        <v>103</v>
      </c>
    </row>
    <row r="82" spans="1:16" x14ac:dyDescent="0.25">
      <c r="A82" s="14"/>
      <c r="B82" s="28"/>
      <c r="C82" s="28"/>
      <c r="D82" t="s">
        <v>100</v>
      </c>
      <c r="E82" t="s">
        <v>50</v>
      </c>
      <c r="F82">
        <v>1</v>
      </c>
      <c r="G82" s="29">
        <v>0.21</v>
      </c>
      <c r="H82" t="s">
        <v>30</v>
      </c>
      <c r="I82" s="30">
        <f>IFERROR(VLOOKUP(H82,CARTON_LOOKUP!$A:$E,3,0),"")</f>
      </c>
      <c r="J82" s="30">
        <f>IFERROR(VLOOKUP(H82,CARTON_LOOKUP!$A:$E,4,0),"")</f>
      </c>
      <c r="K82" s="30">
        <f>IFERROR(VLOOKUP(H82,CARTON_LOOKUP!$A:$E,5,0),"")</f>
      </c>
      <c r="L82" s="31">
        <f>IFERROR(VLOOKUP(H82,CARTON_LOOKUP!$A:$E,2,0),"")</f>
      </c>
      <c r="M82" t="s">
        <v>101</v>
      </c>
      <c r="N82" t="s">
        <v>102</v>
      </c>
      <c r="O82" t="s">
        <v>103</v>
      </c>
    </row>
    <row r="83" spans="1:16" x14ac:dyDescent="0.25">
      <c r="A83" s="14"/>
      <c r="B83" s="28"/>
      <c r="C83" s="28"/>
      <c r="D83" t="s">
        <v>100</v>
      </c>
      <c r="E83" t="s">
        <v>50</v>
      </c>
      <c r="F83">
        <v>1</v>
      </c>
      <c r="G83" s="29">
        <v>0.21</v>
      </c>
      <c r="H83" t="s">
        <v>30</v>
      </c>
      <c r="I83" s="30">
        <f>IFERROR(VLOOKUP(H83,CARTON_LOOKUP!$A:$E,3,0),"")</f>
      </c>
      <c r="J83" s="30">
        <f>IFERROR(VLOOKUP(H83,CARTON_LOOKUP!$A:$E,4,0),"")</f>
      </c>
      <c r="K83" s="30">
        <f>IFERROR(VLOOKUP(H83,CARTON_LOOKUP!$A:$E,5,0),"")</f>
      </c>
      <c r="L83" s="31">
        <f>IFERROR(VLOOKUP(H83,CARTON_LOOKUP!$A:$E,2,0),"")</f>
      </c>
      <c r="M83" t="s">
        <v>101</v>
      </c>
      <c r="N83" t="s">
        <v>102</v>
      </c>
      <c r="O83" t="s">
        <v>103</v>
      </c>
    </row>
    <row r="84" spans="1:16" x14ac:dyDescent="0.25">
      <c r="A84" s="14"/>
      <c r="B84" s="28"/>
      <c r="C84" s="28"/>
      <c r="D84" t="s">
        <v>100</v>
      </c>
      <c r="E84" t="s">
        <v>50</v>
      </c>
      <c r="F84">
        <v>1</v>
      </c>
      <c r="G84" s="29">
        <v>0.21</v>
      </c>
      <c r="H84" t="s">
        <v>30</v>
      </c>
      <c r="I84" s="30">
        <f>IFERROR(VLOOKUP(H84,CARTON_LOOKUP!$A:$E,3,0),"")</f>
      </c>
      <c r="J84" s="30">
        <f>IFERROR(VLOOKUP(H84,CARTON_LOOKUP!$A:$E,4,0),"")</f>
      </c>
      <c r="K84" s="30">
        <f>IFERROR(VLOOKUP(H84,CARTON_LOOKUP!$A:$E,5,0),"")</f>
      </c>
      <c r="L84" s="31">
        <f>IFERROR(VLOOKUP(H84,CARTON_LOOKUP!$A:$E,2,0),"")</f>
      </c>
      <c r="M84" t="s">
        <v>101</v>
      </c>
      <c r="N84" t="s">
        <v>102</v>
      </c>
      <c r="O84" t="s">
        <v>103</v>
      </c>
    </row>
    <row r="85" spans="1:16" x14ac:dyDescent="0.25">
      <c r="A85" s="14"/>
      <c r="B85" s="28"/>
      <c r="C85" s="28"/>
      <c r="D85" t="s">
        <v>100</v>
      </c>
      <c r="E85" t="s">
        <v>50</v>
      </c>
      <c r="F85">
        <v>1</v>
      </c>
      <c r="G85" s="29">
        <v>0.21</v>
      </c>
      <c r="H85" t="s">
        <v>30</v>
      </c>
      <c r="I85" s="30">
        <f>IFERROR(VLOOKUP(H85,CARTON_LOOKUP!$A:$E,3,0),"")</f>
      </c>
      <c r="J85" s="30">
        <f>IFERROR(VLOOKUP(H85,CARTON_LOOKUP!$A:$E,4,0),"")</f>
      </c>
      <c r="K85" s="30">
        <f>IFERROR(VLOOKUP(H85,CARTON_LOOKUP!$A:$E,5,0),"")</f>
      </c>
      <c r="L85" s="31">
        <f>IFERROR(VLOOKUP(H85,CARTON_LOOKUP!$A:$E,2,0),"")</f>
      </c>
      <c r="M85" t="s">
        <v>101</v>
      </c>
      <c r="N85" t="s">
        <v>102</v>
      </c>
      <c r="O85" t="s">
        <v>103</v>
      </c>
    </row>
    <row r="86" spans="1:16" x14ac:dyDescent="0.25">
      <c r="A86" s="14"/>
      <c r="B86" s="28"/>
      <c r="C86" s="28"/>
      <c r="D86" t="s">
        <v>100</v>
      </c>
      <c r="E86" t="s">
        <v>50</v>
      </c>
      <c r="F86">
        <v>1</v>
      </c>
      <c r="G86" s="29">
        <v>0.21</v>
      </c>
      <c r="H86" t="s">
        <v>30</v>
      </c>
      <c r="I86" s="30">
        <f>IFERROR(VLOOKUP(H86,CARTON_LOOKUP!$A:$E,3,0),"")</f>
      </c>
      <c r="J86" s="30">
        <f>IFERROR(VLOOKUP(H86,CARTON_LOOKUP!$A:$E,4,0),"")</f>
      </c>
      <c r="K86" s="30">
        <f>IFERROR(VLOOKUP(H86,CARTON_LOOKUP!$A:$E,5,0),"")</f>
      </c>
      <c r="L86" s="31">
        <f>IFERROR(VLOOKUP(H86,CARTON_LOOKUP!$A:$E,2,0),"")</f>
      </c>
      <c r="M86" t="s">
        <v>101</v>
      </c>
      <c r="N86" t="s">
        <v>102</v>
      </c>
      <c r="O86" t="s">
        <v>103</v>
      </c>
    </row>
    <row r="87" spans="1:16" x14ac:dyDescent="0.25">
      <c r="A87" s="14"/>
      <c r="B87" s="28"/>
      <c r="C87" s="28"/>
      <c r="D87" t="s">
        <v>100</v>
      </c>
      <c r="E87" t="s">
        <v>50</v>
      </c>
      <c r="F87">
        <v>1</v>
      </c>
      <c r="G87" s="29">
        <v>0.21</v>
      </c>
      <c r="H87" t="s">
        <v>30</v>
      </c>
      <c r="I87" s="30">
        <f>IFERROR(VLOOKUP(H87,CARTON_LOOKUP!$A:$E,3,0),"")</f>
      </c>
      <c r="J87" s="30">
        <f>IFERROR(VLOOKUP(H87,CARTON_LOOKUP!$A:$E,4,0),"")</f>
      </c>
      <c r="K87" s="30">
        <f>IFERROR(VLOOKUP(H87,CARTON_LOOKUP!$A:$E,5,0),"")</f>
      </c>
      <c r="L87" s="31">
        <f>IFERROR(VLOOKUP(H87,CARTON_LOOKUP!$A:$E,2,0),"")</f>
      </c>
      <c r="M87" t="s">
        <v>101</v>
      </c>
      <c r="N87" t="s">
        <v>102</v>
      </c>
      <c r="O87" t="s">
        <v>103</v>
      </c>
    </row>
    <row r="88" spans="1:16" x14ac:dyDescent="0.25">
      <c r="A88" s="14"/>
      <c r="B88" s="28"/>
      <c r="C88" s="28"/>
      <c r="D88" t="s">
        <v>100</v>
      </c>
      <c r="E88" t="s">
        <v>50</v>
      </c>
      <c r="F88">
        <v>1</v>
      </c>
      <c r="G88" s="29">
        <v>0.21</v>
      </c>
      <c r="H88" t="s">
        <v>30</v>
      </c>
      <c r="I88" s="30">
        <f>IFERROR(VLOOKUP(H88,CARTON_LOOKUP!$A:$E,3,0),"")</f>
      </c>
      <c r="J88" s="30">
        <f>IFERROR(VLOOKUP(H88,CARTON_LOOKUP!$A:$E,4,0),"")</f>
      </c>
      <c r="K88" s="30">
        <f>IFERROR(VLOOKUP(H88,CARTON_LOOKUP!$A:$E,5,0),"")</f>
      </c>
      <c r="L88" s="31">
        <f>IFERROR(VLOOKUP(H88,CARTON_LOOKUP!$A:$E,2,0),"")</f>
      </c>
      <c r="M88" t="s">
        <v>101</v>
      </c>
      <c r="N88" t="s">
        <v>102</v>
      </c>
      <c r="O88" t="s">
        <v>103</v>
      </c>
    </row>
    <row r="89" spans="1:16" x14ac:dyDescent="0.25">
      <c r="A89" s="14"/>
      <c r="B89" s="28"/>
      <c r="C89" s="28"/>
      <c r="D89" t="s">
        <v>100</v>
      </c>
      <c r="E89" t="s">
        <v>50</v>
      </c>
      <c r="F89">
        <v>1</v>
      </c>
      <c r="G89" s="29">
        <v>0.21</v>
      </c>
      <c r="H89" t="s">
        <v>30</v>
      </c>
      <c r="I89" s="30">
        <f>IFERROR(VLOOKUP(H89,CARTON_LOOKUP!$A:$E,3,0),"")</f>
      </c>
      <c r="J89" s="30">
        <f>IFERROR(VLOOKUP(H89,CARTON_LOOKUP!$A:$E,4,0),"")</f>
      </c>
      <c r="K89" s="30">
        <f>IFERROR(VLOOKUP(H89,CARTON_LOOKUP!$A:$E,5,0),"")</f>
      </c>
      <c r="L89" s="31">
        <f>IFERROR(VLOOKUP(H89,CARTON_LOOKUP!$A:$E,2,0),"")</f>
      </c>
      <c r="M89" t="s">
        <v>101</v>
      </c>
      <c r="N89" t="s">
        <v>102</v>
      </c>
      <c r="O89" t="s">
        <v>103</v>
      </c>
    </row>
    <row r="90" spans="1:16" x14ac:dyDescent="0.25">
      <c r="A90" s="14"/>
      <c r="B90" s="28"/>
      <c r="C90" s="28"/>
      <c r="D90" t="s">
        <v>100</v>
      </c>
      <c r="E90" t="s">
        <v>50</v>
      </c>
      <c r="F90">
        <v>1</v>
      </c>
      <c r="G90" s="29">
        <v>0.21</v>
      </c>
      <c r="H90" t="s">
        <v>30</v>
      </c>
      <c r="I90" s="30">
        <f>IFERROR(VLOOKUP(H90,CARTON_LOOKUP!$A:$E,3,0),"")</f>
      </c>
      <c r="J90" s="30">
        <f>IFERROR(VLOOKUP(H90,CARTON_LOOKUP!$A:$E,4,0),"")</f>
      </c>
      <c r="K90" s="30">
        <f>IFERROR(VLOOKUP(H90,CARTON_LOOKUP!$A:$E,5,0),"")</f>
      </c>
      <c r="L90" s="31">
        <f>IFERROR(VLOOKUP(H90,CARTON_LOOKUP!$A:$E,2,0),"")</f>
      </c>
      <c r="M90" t="s">
        <v>101</v>
      </c>
      <c r="N90" t="s">
        <v>102</v>
      </c>
      <c r="O90" t="s">
        <v>103</v>
      </c>
    </row>
    <row r="91" spans="1:16" x14ac:dyDescent="0.25">
      <c r="A91" s="14"/>
      <c r="B91" s="28"/>
      <c r="C91" s="28"/>
      <c r="D91" t="s">
        <v>100</v>
      </c>
      <c r="E91" t="s">
        <v>50</v>
      </c>
      <c r="F91">
        <v>1</v>
      </c>
      <c r="G91" s="29">
        <v>0.21</v>
      </c>
      <c r="H91" t="s">
        <v>30</v>
      </c>
      <c r="I91" s="30">
        <f>IFERROR(VLOOKUP(H91,CARTON_LOOKUP!$A:$E,3,0),"")</f>
      </c>
      <c r="J91" s="30">
        <f>IFERROR(VLOOKUP(H91,CARTON_LOOKUP!$A:$E,4,0),"")</f>
      </c>
      <c r="K91" s="30">
        <f>IFERROR(VLOOKUP(H91,CARTON_LOOKUP!$A:$E,5,0),"")</f>
      </c>
      <c r="L91" s="31">
        <f>IFERROR(VLOOKUP(H91,CARTON_LOOKUP!$A:$E,2,0),"")</f>
      </c>
      <c r="M91" t="s">
        <v>101</v>
      </c>
      <c r="N91" t="s">
        <v>102</v>
      </c>
      <c r="O91" t="s">
        <v>103</v>
      </c>
    </row>
    <row r="92" spans="1:16" x14ac:dyDescent="0.25">
      <c r="A92" s="14"/>
      <c r="B92" s="28"/>
      <c r="C92" s="28"/>
      <c r="D92" t="s">
        <v>100</v>
      </c>
      <c r="E92" t="s">
        <v>50</v>
      </c>
      <c r="F92">
        <v>1</v>
      </c>
      <c r="G92" s="29">
        <v>0.21</v>
      </c>
      <c r="H92" t="s">
        <v>30</v>
      </c>
      <c r="I92" s="30">
        <f>IFERROR(VLOOKUP(H92,CARTON_LOOKUP!$A:$E,3,0),"")</f>
      </c>
      <c r="J92" s="30">
        <f>IFERROR(VLOOKUP(H92,CARTON_LOOKUP!$A:$E,4,0),"")</f>
      </c>
      <c r="K92" s="30">
        <f>IFERROR(VLOOKUP(H92,CARTON_LOOKUP!$A:$E,5,0),"")</f>
      </c>
      <c r="L92" s="31">
        <f>IFERROR(VLOOKUP(H92,CARTON_LOOKUP!$A:$E,2,0),"")</f>
      </c>
      <c r="M92" t="s">
        <v>101</v>
      </c>
      <c r="N92" t="s">
        <v>102</v>
      </c>
      <c r="O92" t="s">
        <v>103</v>
      </c>
    </row>
    <row r="93" spans="1:16" x14ac:dyDescent="0.25">
      <c r="A93" s="14"/>
      <c r="B93" s="28"/>
      <c r="C93" s="28"/>
      <c r="D93" t="s">
        <v>100</v>
      </c>
      <c r="E93" t="s">
        <v>50</v>
      </c>
      <c r="F93">
        <v>1</v>
      </c>
      <c r="G93" s="29">
        <v>0.21</v>
      </c>
      <c r="H93" t="s">
        <v>30</v>
      </c>
      <c r="I93" s="30">
        <f>IFERROR(VLOOKUP(H93,CARTON_LOOKUP!$A:$E,3,0),"")</f>
      </c>
      <c r="J93" s="30">
        <f>IFERROR(VLOOKUP(H93,CARTON_LOOKUP!$A:$E,4,0),"")</f>
      </c>
      <c r="K93" s="30">
        <f>IFERROR(VLOOKUP(H93,CARTON_LOOKUP!$A:$E,5,0),"")</f>
      </c>
      <c r="L93" s="31">
        <f>IFERROR(VLOOKUP(H93,CARTON_LOOKUP!$A:$E,2,0),"")</f>
      </c>
      <c r="M93" t="s">
        <v>101</v>
      </c>
      <c r="N93" t="s">
        <v>102</v>
      </c>
      <c r="O93" t="s">
        <v>103</v>
      </c>
    </row>
    <row r="94" spans="1:16" x14ac:dyDescent="0.25">
      <c r="A94" s="14"/>
      <c r="B94" s="28"/>
      <c r="C94" s="28"/>
      <c r="D94" t="s">
        <v>100</v>
      </c>
      <c r="E94" t="s">
        <v>50</v>
      </c>
      <c r="F94">
        <v>1</v>
      </c>
      <c r="G94" s="29">
        <v>0.21</v>
      </c>
      <c r="H94" t="s">
        <v>30</v>
      </c>
      <c r="I94" s="30">
        <f>IFERROR(VLOOKUP(H94,CARTON_LOOKUP!$A:$E,3,0),"")</f>
      </c>
      <c r="J94" s="30">
        <f>IFERROR(VLOOKUP(H94,CARTON_LOOKUP!$A:$E,4,0),"")</f>
      </c>
      <c r="K94" s="30">
        <f>IFERROR(VLOOKUP(H94,CARTON_LOOKUP!$A:$E,5,0),"")</f>
      </c>
      <c r="L94" s="31">
        <f>IFERROR(VLOOKUP(H94,CARTON_LOOKUP!$A:$E,2,0),"")</f>
      </c>
      <c r="M94" t="s">
        <v>101</v>
      </c>
      <c r="N94" t="s">
        <v>102</v>
      </c>
      <c r="O94" t="s">
        <v>103</v>
      </c>
    </row>
    <row r="95" spans="1:16" x14ac:dyDescent="0.25">
      <c r="A95" s="14"/>
      <c r="B95" s="28"/>
      <c r="C95" s="28"/>
      <c r="D95" t="s">
        <v>100</v>
      </c>
      <c r="E95" t="s">
        <v>50</v>
      </c>
      <c r="F95">
        <v>1</v>
      </c>
      <c r="G95" s="29">
        <v>0.21</v>
      </c>
      <c r="H95" t="s">
        <v>30</v>
      </c>
      <c r="I95" s="30">
        <f>IFERROR(VLOOKUP(H95,CARTON_LOOKUP!$A:$E,3,0),"")</f>
      </c>
      <c r="J95" s="30">
        <f>IFERROR(VLOOKUP(H95,CARTON_LOOKUP!$A:$E,4,0),"")</f>
      </c>
      <c r="K95" s="30">
        <f>IFERROR(VLOOKUP(H95,CARTON_LOOKUP!$A:$E,5,0),"")</f>
      </c>
      <c r="L95" s="31">
        <f>IFERROR(VLOOKUP(H95,CARTON_LOOKUP!$A:$E,2,0),"")</f>
      </c>
      <c r="M95" t="s">
        <v>101</v>
      </c>
      <c r="N95" t="s">
        <v>102</v>
      </c>
      <c r="O95" t="s">
        <v>103</v>
      </c>
    </row>
    <row r="96" spans="1:16" x14ac:dyDescent="0.25">
      <c r="A96" s="14"/>
      <c r="B96" s="28"/>
      <c r="C96" s="28"/>
      <c r="D96" t="s">
        <v>100</v>
      </c>
      <c r="E96" t="s">
        <v>50</v>
      </c>
      <c r="F96">
        <v>1</v>
      </c>
      <c r="G96" s="29">
        <v>0.21</v>
      </c>
      <c r="H96" t="s">
        <v>30</v>
      </c>
      <c r="I96" s="30">
        <f>IFERROR(VLOOKUP(H96,CARTON_LOOKUP!$A:$E,3,0),"")</f>
      </c>
      <c r="J96" s="30">
        <f>IFERROR(VLOOKUP(H96,CARTON_LOOKUP!$A:$E,4,0),"")</f>
      </c>
      <c r="K96" s="30">
        <f>IFERROR(VLOOKUP(H96,CARTON_LOOKUP!$A:$E,5,0),"")</f>
      </c>
      <c r="L96" s="31">
        <f>IFERROR(VLOOKUP(H96,CARTON_LOOKUP!$A:$E,2,0),"")</f>
      </c>
      <c r="M96" t="s">
        <v>101</v>
      </c>
      <c r="N96" t="s">
        <v>102</v>
      </c>
      <c r="O96" t="s">
        <v>103</v>
      </c>
    </row>
    <row r="97" spans="1:16" x14ac:dyDescent="0.25">
      <c r="A97" s="14"/>
      <c r="B97" s="28"/>
      <c r="C97" s="28"/>
      <c r="D97" t="s">
        <v>100</v>
      </c>
      <c r="E97" t="s">
        <v>50</v>
      </c>
      <c r="F97">
        <v>1</v>
      </c>
      <c r="G97" s="29">
        <v>0.21</v>
      </c>
      <c r="H97" t="s">
        <v>30</v>
      </c>
      <c r="I97" s="30">
        <f>IFERROR(VLOOKUP(H97,CARTON_LOOKUP!$A:$E,3,0),"")</f>
      </c>
      <c r="J97" s="30">
        <f>IFERROR(VLOOKUP(H97,CARTON_LOOKUP!$A:$E,4,0),"")</f>
      </c>
      <c r="K97" s="30">
        <f>IFERROR(VLOOKUP(H97,CARTON_LOOKUP!$A:$E,5,0),"")</f>
      </c>
      <c r="L97" s="31">
        <f>IFERROR(VLOOKUP(H97,CARTON_LOOKUP!$A:$E,2,0),"")</f>
      </c>
      <c r="M97" t="s">
        <v>101</v>
      </c>
      <c r="N97" t="s">
        <v>102</v>
      </c>
      <c r="O97" t="s">
        <v>103</v>
      </c>
    </row>
    <row r="98" spans="1:16" x14ac:dyDescent="0.25">
      <c r="A98" s="14"/>
      <c r="B98" s="28"/>
      <c r="C98" s="28"/>
      <c r="D98" t="s">
        <v>100</v>
      </c>
      <c r="E98" t="s">
        <v>50</v>
      </c>
      <c r="F98">
        <v>1</v>
      </c>
      <c r="G98" s="29">
        <v>0.21</v>
      </c>
      <c r="H98" t="s">
        <v>30</v>
      </c>
      <c r="I98" s="30">
        <f>IFERROR(VLOOKUP(H98,CARTON_LOOKUP!$A:$E,3,0),"")</f>
      </c>
      <c r="J98" s="30">
        <f>IFERROR(VLOOKUP(H98,CARTON_LOOKUP!$A:$E,4,0),"")</f>
      </c>
      <c r="K98" s="30">
        <f>IFERROR(VLOOKUP(H98,CARTON_LOOKUP!$A:$E,5,0),"")</f>
      </c>
      <c r="L98" s="31">
        <f>IFERROR(VLOOKUP(H98,CARTON_LOOKUP!$A:$E,2,0),"")</f>
      </c>
      <c r="M98" t="s">
        <v>101</v>
      </c>
      <c r="N98" t="s">
        <v>102</v>
      </c>
      <c r="O98" t="s">
        <v>103</v>
      </c>
    </row>
    <row r="99" spans="1:16" x14ac:dyDescent="0.25">
      <c r="A99" s="14"/>
      <c r="B99" s="28"/>
      <c r="C99" s="28"/>
      <c r="D99" t="s">
        <v>100</v>
      </c>
      <c r="E99" t="s">
        <v>50</v>
      </c>
      <c r="F99">
        <v>1</v>
      </c>
      <c r="G99" s="29">
        <v>0.21</v>
      </c>
      <c r="H99" t="s">
        <v>30</v>
      </c>
      <c r="I99" s="30">
        <f>IFERROR(VLOOKUP(H99,CARTON_LOOKUP!$A:$E,3,0),"")</f>
      </c>
      <c r="J99" s="30">
        <f>IFERROR(VLOOKUP(H99,CARTON_LOOKUP!$A:$E,4,0),"")</f>
      </c>
      <c r="K99" s="30">
        <f>IFERROR(VLOOKUP(H99,CARTON_LOOKUP!$A:$E,5,0),"")</f>
      </c>
      <c r="L99" s="31">
        <f>IFERROR(VLOOKUP(H99,CARTON_LOOKUP!$A:$E,2,0),"")</f>
      </c>
      <c r="M99" t="s">
        <v>101</v>
      </c>
      <c r="N99" t="s">
        <v>102</v>
      </c>
      <c r="O99" t="s">
        <v>103</v>
      </c>
    </row>
    <row r="100" spans="1:16" x14ac:dyDescent="0.25">
      <c r="A100" s="14"/>
      <c r="B100" s="28"/>
      <c r="C100" s="28"/>
      <c r="D100" t="s">
        <v>100</v>
      </c>
      <c r="E100" t="s">
        <v>50</v>
      </c>
      <c r="F100">
        <v>1</v>
      </c>
      <c r="G100" s="29">
        <v>0.21</v>
      </c>
      <c r="H100" t="s">
        <v>30</v>
      </c>
      <c r="I100" s="30">
        <f>IFERROR(VLOOKUP(H100,CARTON_LOOKUP!$A:$E,3,0),"")</f>
      </c>
      <c r="J100" s="30">
        <f>IFERROR(VLOOKUP(H100,CARTON_LOOKUP!$A:$E,4,0),"")</f>
      </c>
      <c r="K100" s="30">
        <f>IFERROR(VLOOKUP(H100,CARTON_LOOKUP!$A:$E,5,0),"")</f>
      </c>
      <c r="L100" s="31">
        <f>IFERROR(VLOOKUP(H100,CARTON_LOOKUP!$A:$E,2,0),"")</f>
      </c>
      <c r="M100" t="s">
        <v>101</v>
      </c>
      <c r="N100" t="s">
        <v>102</v>
      </c>
      <c r="O100" t="s">
        <v>103</v>
      </c>
    </row>
    <row r="101" spans="1:16" x14ac:dyDescent="0.25">
      <c r="A101" s="14"/>
      <c r="B101" s="28"/>
      <c r="C101" s="28"/>
      <c r="D101" t="s">
        <v>100</v>
      </c>
      <c r="E101" t="s">
        <v>50</v>
      </c>
      <c r="F101">
        <v>1</v>
      </c>
      <c r="G101" s="29">
        <v>0.21</v>
      </c>
      <c r="H101" t="s">
        <v>30</v>
      </c>
      <c r="I101" s="30">
        <f>IFERROR(VLOOKUP(H101,CARTON_LOOKUP!$A:$E,3,0),"")</f>
      </c>
      <c r="J101" s="30">
        <f>IFERROR(VLOOKUP(H101,CARTON_LOOKUP!$A:$E,4,0),"")</f>
      </c>
      <c r="K101" s="30">
        <f>IFERROR(VLOOKUP(H101,CARTON_LOOKUP!$A:$E,5,0),"")</f>
      </c>
      <c r="L101" s="31">
        <f>IFERROR(VLOOKUP(H101,CARTON_LOOKUP!$A:$E,2,0),"")</f>
      </c>
      <c r="M101" t="s">
        <v>101</v>
      </c>
      <c r="N101" t="s">
        <v>102</v>
      </c>
      <c r="O101" t="s">
        <v>103</v>
      </c>
    </row>
    <row r="102" spans="1:16" x14ac:dyDescent="0.25">
      <c r="A102" s="14"/>
      <c r="B102" s="28"/>
      <c r="C102" s="28"/>
      <c r="D102" t="s">
        <v>100</v>
      </c>
      <c r="E102" t="s">
        <v>50</v>
      </c>
      <c r="F102">
        <v>1</v>
      </c>
      <c r="G102" s="29">
        <v>0.21</v>
      </c>
      <c r="H102" t="s">
        <v>30</v>
      </c>
      <c r="I102" s="30">
        <f>IFERROR(VLOOKUP(H102,CARTON_LOOKUP!$A:$E,3,0),"")</f>
      </c>
      <c r="J102" s="30">
        <f>IFERROR(VLOOKUP(H102,CARTON_LOOKUP!$A:$E,4,0),"")</f>
      </c>
      <c r="K102" s="30">
        <f>IFERROR(VLOOKUP(H102,CARTON_LOOKUP!$A:$E,5,0),"")</f>
      </c>
      <c r="L102" s="31">
        <f>IFERROR(VLOOKUP(H102,CARTON_LOOKUP!$A:$E,2,0),"")</f>
      </c>
      <c r="M102" t="s">
        <v>101</v>
      </c>
      <c r="N102" t="s">
        <v>102</v>
      </c>
      <c r="O102" t="s">
        <v>103</v>
      </c>
    </row>
    <row r="103" spans="1:16" x14ac:dyDescent="0.25">
      <c r="A103" s="14"/>
      <c r="B103" s="28"/>
      <c r="C103" s="28"/>
      <c r="D103" t="s">
        <v>100</v>
      </c>
      <c r="E103" t="s">
        <v>50</v>
      </c>
      <c r="F103">
        <v>1</v>
      </c>
      <c r="G103" s="29">
        <v>0.21</v>
      </c>
      <c r="H103" t="s">
        <v>30</v>
      </c>
      <c r="I103" s="30">
        <f>IFERROR(VLOOKUP(H103,CARTON_LOOKUP!$A:$E,3,0),"")</f>
      </c>
      <c r="J103" s="30">
        <f>IFERROR(VLOOKUP(H103,CARTON_LOOKUP!$A:$E,4,0),"")</f>
      </c>
      <c r="K103" s="30">
        <f>IFERROR(VLOOKUP(H103,CARTON_LOOKUP!$A:$E,5,0),"")</f>
      </c>
      <c r="L103" s="31">
        <f>IFERROR(VLOOKUP(H103,CARTON_LOOKUP!$A:$E,2,0),"")</f>
      </c>
      <c r="M103" t="s">
        <v>101</v>
      </c>
      <c r="N103" t="s">
        <v>102</v>
      </c>
      <c r="O103" t="s">
        <v>103</v>
      </c>
    </row>
    <row r="104" spans="1:16" x14ac:dyDescent="0.25">
      <c r="A104" s="14"/>
      <c r="B104" s="28"/>
      <c r="C104" s="28"/>
      <c r="D104" t="s">
        <v>100</v>
      </c>
      <c r="E104" t="s">
        <v>50</v>
      </c>
      <c r="F104">
        <v>1</v>
      </c>
      <c r="G104" s="29">
        <v>0.21</v>
      </c>
      <c r="H104" t="s">
        <v>30</v>
      </c>
      <c r="I104" s="30">
        <f>IFERROR(VLOOKUP(H104,CARTON_LOOKUP!$A:$E,3,0),"")</f>
      </c>
      <c r="J104" s="30">
        <f>IFERROR(VLOOKUP(H104,CARTON_LOOKUP!$A:$E,4,0),"")</f>
      </c>
      <c r="K104" s="30">
        <f>IFERROR(VLOOKUP(H104,CARTON_LOOKUP!$A:$E,5,0),"")</f>
      </c>
      <c r="L104" s="31">
        <f>IFERROR(VLOOKUP(H104,CARTON_LOOKUP!$A:$E,2,0),"")</f>
      </c>
      <c r="M104" t="s">
        <v>101</v>
      </c>
      <c r="N104" t="s">
        <v>102</v>
      </c>
      <c r="O104" t="s">
        <v>103</v>
      </c>
    </row>
    <row r="105" spans="1:16" x14ac:dyDescent="0.25">
      <c r="A105" s="14"/>
      <c r="B105" s="28"/>
      <c r="C105" s="28"/>
      <c r="D105" t="s">
        <v>100</v>
      </c>
      <c r="E105" t="s">
        <v>50</v>
      </c>
      <c r="F105">
        <v>1</v>
      </c>
      <c r="G105" s="29">
        <v>0.21</v>
      </c>
      <c r="H105" t="s">
        <v>30</v>
      </c>
      <c r="I105" s="30">
        <f>IFERROR(VLOOKUP(H105,CARTON_LOOKUP!$A:$E,3,0),"")</f>
      </c>
      <c r="J105" s="30">
        <f>IFERROR(VLOOKUP(H105,CARTON_LOOKUP!$A:$E,4,0),"")</f>
      </c>
      <c r="K105" s="30">
        <f>IFERROR(VLOOKUP(H105,CARTON_LOOKUP!$A:$E,5,0),"")</f>
      </c>
      <c r="L105" s="31">
        <f>IFERROR(VLOOKUP(H105,CARTON_LOOKUP!$A:$E,2,0),"")</f>
      </c>
      <c r="M105" t="s">
        <v>101</v>
      </c>
      <c r="N105" t="s">
        <v>102</v>
      </c>
      <c r="O105" t="s">
        <v>103</v>
      </c>
    </row>
    <row r="106" spans="1:16" x14ac:dyDescent="0.25">
      <c r="A106" s="14"/>
      <c r="B106" s="28"/>
      <c r="C106" s="28"/>
      <c r="D106" t="s">
        <v>100</v>
      </c>
      <c r="E106" t="s">
        <v>50</v>
      </c>
      <c r="F106">
        <v>1</v>
      </c>
      <c r="G106" s="29">
        <v>0.21</v>
      </c>
      <c r="H106" t="s">
        <v>30</v>
      </c>
      <c r="I106" s="30">
        <f>IFERROR(VLOOKUP(H106,CARTON_LOOKUP!$A:$E,3,0),"")</f>
      </c>
      <c r="J106" s="30">
        <f>IFERROR(VLOOKUP(H106,CARTON_LOOKUP!$A:$E,4,0),"")</f>
      </c>
      <c r="K106" s="30">
        <f>IFERROR(VLOOKUP(H106,CARTON_LOOKUP!$A:$E,5,0),"")</f>
      </c>
      <c r="L106" s="31">
        <f>IFERROR(VLOOKUP(H106,CARTON_LOOKUP!$A:$E,2,0),"")</f>
      </c>
      <c r="M106" t="s">
        <v>101</v>
      </c>
      <c r="N106" t="s">
        <v>102</v>
      </c>
      <c r="O106" t="s">
        <v>103</v>
      </c>
    </row>
    <row r="107" spans="1:16" x14ac:dyDescent="0.25">
      <c r="A107" s="14"/>
      <c r="B107" s="28"/>
      <c r="C107" s="28"/>
      <c r="D107" t="s">
        <v>100</v>
      </c>
      <c r="E107" t="s">
        <v>50</v>
      </c>
      <c r="F107">
        <v>1</v>
      </c>
      <c r="G107" s="29">
        <v>0.21</v>
      </c>
      <c r="H107" t="s">
        <v>30</v>
      </c>
      <c r="I107" s="30">
        <f>IFERROR(VLOOKUP(H107,CARTON_LOOKUP!$A:$E,3,0),"")</f>
      </c>
      <c r="J107" s="30">
        <f>IFERROR(VLOOKUP(H107,CARTON_LOOKUP!$A:$E,4,0),"")</f>
      </c>
      <c r="K107" s="30">
        <f>IFERROR(VLOOKUP(H107,CARTON_LOOKUP!$A:$E,5,0),"")</f>
      </c>
      <c r="L107" s="31">
        <f>IFERROR(VLOOKUP(H107,CARTON_LOOKUP!$A:$E,2,0),"")</f>
      </c>
      <c r="M107" t="s">
        <v>101</v>
      </c>
      <c r="N107" t="s">
        <v>102</v>
      </c>
      <c r="O107" t="s">
        <v>103</v>
      </c>
    </row>
    <row r="108" spans="1:16" x14ac:dyDescent="0.25">
      <c r="A108" s="14"/>
      <c r="B108" s="28"/>
      <c r="C108" s="28"/>
      <c r="D108" t="s">
        <v>100</v>
      </c>
      <c r="E108" t="s">
        <v>50</v>
      </c>
      <c r="F108">
        <v>1</v>
      </c>
      <c r="G108" s="29">
        <v>0.21</v>
      </c>
      <c r="H108" t="s">
        <v>30</v>
      </c>
      <c r="I108" s="30">
        <f>IFERROR(VLOOKUP(H108,CARTON_LOOKUP!$A:$E,3,0),"")</f>
      </c>
      <c r="J108" s="30">
        <f>IFERROR(VLOOKUP(H108,CARTON_LOOKUP!$A:$E,4,0),"")</f>
      </c>
      <c r="K108" s="30">
        <f>IFERROR(VLOOKUP(H108,CARTON_LOOKUP!$A:$E,5,0),"")</f>
      </c>
      <c r="L108" s="31">
        <f>IFERROR(VLOOKUP(H108,CARTON_LOOKUP!$A:$E,2,0),"")</f>
      </c>
      <c r="M108" t="s">
        <v>101</v>
      </c>
      <c r="N108" t="s">
        <v>102</v>
      </c>
      <c r="O108" t="s">
        <v>103</v>
      </c>
    </row>
    <row r="109" spans="1:16" x14ac:dyDescent="0.25">
      <c r="A109" s="14"/>
      <c r="B109" s="28"/>
      <c r="C109" s="28"/>
      <c r="D109" t="s">
        <v>100</v>
      </c>
      <c r="E109" t="s">
        <v>50</v>
      </c>
      <c r="F109">
        <v>1</v>
      </c>
      <c r="G109" s="29">
        <v>0.21</v>
      </c>
      <c r="H109" t="s">
        <v>30</v>
      </c>
      <c r="I109" s="30">
        <f>IFERROR(VLOOKUP(H109,CARTON_LOOKUP!$A:$E,3,0),"")</f>
      </c>
      <c r="J109" s="30">
        <f>IFERROR(VLOOKUP(H109,CARTON_LOOKUP!$A:$E,4,0),"")</f>
      </c>
      <c r="K109" s="30">
        <f>IFERROR(VLOOKUP(H109,CARTON_LOOKUP!$A:$E,5,0),"")</f>
      </c>
      <c r="L109" s="31">
        <f>IFERROR(VLOOKUP(H109,CARTON_LOOKUP!$A:$E,2,0),"")</f>
      </c>
      <c r="M109" t="s">
        <v>101</v>
      </c>
      <c r="N109" t="s">
        <v>102</v>
      </c>
      <c r="O109" t="s">
        <v>103</v>
      </c>
    </row>
    <row r="110" spans="1:16" x14ac:dyDescent="0.25">
      <c r="A110" s="14"/>
      <c r="B110" s="28"/>
      <c r="C110" s="28"/>
      <c r="D110" t="s">
        <v>100</v>
      </c>
      <c r="E110" t="s">
        <v>50</v>
      </c>
      <c r="F110">
        <v>1</v>
      </c>
      <c r="G110" s="29">
        <v>0.21</v>
      </c>
      <c r="H110" t="s">
        <v>30</v>
      </c>
      <c r="I110" s="30">
        <f>IFERROR(VLOOKUP(H110,CARTON_LOOKUP!$A:$E,3,0),"")</f>
      </c>
      <c r="J110" s="30">
        <f>IFERROR(VLOOKUP(H110,CARTON_LOOKUP!$A:$E,4,0),"")</f>
      </c>
      <c r="K110" s="30">
        <f>IFERROR(VLOOKUP(H110,CARTON_LOOKUP!$A:$E,5,0),"")</f>
      </c>
      <c r="L110" s="31">
        <f>IFERROR(VLOOKUP(H110,CARTON_LOOKUP!$A:$E,2,0),"")</f>
      </c>
      <c r="M110" t="s">
        <v>101</v>
      </c>
      <c r="N110" t="s">
        <v>102</v>
      </c>
      <c r="O110" t="s">
        <v>103</v>
      </c>
    </row>
    <row r="111" spans="1:16" x14ac:dyDescent="0.25">
      <c r="A111" s="14"/>
      <c r="B111" s="28"/>
      <c r="C111" s="28"/>
      <c r="D111" t="s">
        <v>100</v>
      </c>
      <c r="E111" t="s">
        <v>50</v>
      </c>
      <c r="F111">
        <v>1</v>
      </c>
      <c r="G111" s="29">
        <v>0.21</v>
      </c>
      <c r="H111" t="s">
        <v>30</v>
      </c>
      <c r="I111" s="30">
        <f>IFERROR(VLOOKUP(H111,CARTON_LOOKUP!$A:$E,3,0),"")</f>
      </c>
      <c r="J111" s="30">
        <f>IFERROR(VLOOKUP(H111,CARTON_LOOKUP!$A:$E,4,0),"")</f>
      </c>
      <c r="K111" s="30">
        <f>IFERROR(VLOOKUP(H111,CARTON_LOOKUP!$A:$E,5,0),"")</f>
      </c>
      <c r="L111" s="31">
        <f>IFERROR(VLOOKUP(H111,CARTON_LOOKUP!$A:$E,2,0),"")</f>
      </c>
      <c r="M111" t="s">
        <v>101</v>
      </c>
      <c r="N111" t="s">
        <v>102</v>
      </c>
      <c r="O111" t="s">
        <v>103</v>
      </c>
    </row>
    <row r="112" spans="1:16" x14ac:dyDescent="0.25">
      <c r="A112" s="14"/>
      <c r="B112" s="28"/>
      <c r="C112" s="28"/>
      <c r="D112" t="s">
        <v>100</v>
      </c>
      <c r="E112" t="s">
        <v>50</v>
      </c>
      <c r="F112">
        <v>1</v>
      </c>
      <c r="G112" s="29">
        <v>0.21</v>
      </c>
      <c r="H112" t="s">
        <v>30</v>
      </c>
      <c r="I112" s="30">
        <f>IFERROR(VLOOKUP(H112,CARTON_LOOKUP!$A:$E,3,0),"")</f>
      </c>
      <c r="J112" s="30">
        <f>IFERROR(VLOOKUP(H112,CARTON_LOOKUP!$A:$E,4,0),"")</f>
      </c>
      <c r="K112" s="30">
        <f>IFERROR(VLOOKUP(H112,CARTON_LOOKUP!$A:$E,5,0),"")</f>
      </c>
      <c r="L112" s="31">
        <f>IFERROR(VLOOKUP(H112,CARTON_LOOKUP!$A:$E,2,0),"")</f>
      </c>
      <c r="M112" t="s">
        <v>101</v>
      </c>
      <c r="N112" t="s">
        <v>102</v>
      </c>
      <c r="O112" t="s">
        <v>103</v>
      </c>
    </row>
    <row r="113" spans="1:16" x14ac:dyDescent="0.25">
      <c r="A113" s="14"/>
      <c r="B113" s="28"/>
      <c r="C113" s="28"/>
      <c r="D113" t="s">
        <v>100</v>
      </c>
      <c r="E113" t="s">
        <v>50</v>
      </c>
      <c r="F113">
        <v>1</v>
      </c>
      <c r="G113" s="29">
        <v>0.21</v>
      </c>
      <c r="H113" t="s">
        <v>30</v>
      </c>
      <c r="I113" s="30">
        <f>IFERROR(VLOOKUP(H113,CARTON_LOOKUP!$A:$E,3,0),"")</f>
      </c>
      <c r="J113" s="30">
        <f>IFERROR(VLOOKUP(H113,CARTON_LOOKUP!$A:$E,4,0),"")</f>
      </c>
      <c r="K113" s="30">
        <f>IFERROR(VLOOKUP(H113,CARTON_LOOKUP!$A:$E,5,0),"")</f>
      </c>
      <c r="L113" s="31">
        <f>IFERROR(VLOOKUP(H113,CARTON_LOOKUP!$A:$E,2,0),"")</f>
      </c>
      <c r="M113" t="s">
        <v>101</v>
      </c>
      <c r="N113" t="s">
        <v>102</v>
      </c>
      <c r="O113" t="s">
        <v>103</v>
      </c>
    </row>
    <row r="114" spans="1:16" x14ac:dyDescent="0.25">
      <c r="A114" s="14"/>
      <c r="B114" s="28"/>
      <c r="C114" s="28"/>
      <c r="D114" t="s">
        <v>100</v>
      </c>
      <c r="E114" t="s">
        <v>50</v>
      </c>
      <c r="F114">
        <v>1</v>
      </c>
      <c r="G114" s="29">
        <v>0.21</v>
      </c>
      <c r="H114" t="s">
        <v>30</v>
      </c>
      <c r="I114" s="30">
        <f>IFERROR(VLOOKUP(H114,CARTON_LOOKUP!$A:$E,3,0),"")</f>
      </c>
      <c r="J114" s="30">
        <f>IFERROR(VLOOKUP(H114,CARTON_LOOKUP!$A:$E,4,0),"")</f>
      </c>
      <c r="K114" s="30">
        <f>IFERROR(VLOOKUP(H114,CARTON_LOOKUP!$A:$E,5,0),"")</f>
      </c>
      <c r="L114" s="31">
        <f>IFERROR(VLOOKUP(H114,CARTON_LOOKUP!$A:$E,2,0),"")</f>
      </c>
      <c r="M114" t="s">
        <v>101</v>
      </c>
      <c r="N114" t="s">
        <v>102</v>
      </c>
      <c r="O114" t="s">
        <v>103</v>
      </c>
    </row>
    <row r="115" spans="1:16" x14ac:dyDescent="0.25">
      <c r="A115" s="14"/>
      <c r="B115" s="28"/>
      <c r="C115" s="28"/>
      <c r="D115" t="s">
        <v>100</v>
      </c>
      <c r="E115" t="s">
        <v>50</v>
      </c>
      <c r="F115">
        <v>1</v>
      </c>
      <c r="G115" s="29">
        <v>0.21</v>
      </c>
      <c r="H115" t="s">
        <v>30</v>
      </c>
      <c r="I115" s="30">
        <f>IFERROR(VLOOKUP(H115,CARTON_LOOKUP!$A:$E,3,0),"")</f>
      </c>
      <c r="J115" s="30">
        <f>IFERROR(VLOOKUP(H115,CARTON_LOOKUP!$A:$E,4,0),"")</f>
      </c>
      <c r="K115" s="30">
        <f>IFERROR(VLOOKUP(H115,CARTON_LOOKUP!$A:$E,5,0),"")</f>
      </c>
      <c r="L115" s="31">
        <f>IFERROR(VLOOKUP(H115,CARTON_LOOKUP!$A:$E,2,0),"")</f>
      </c>
      <c r="M115" t="s">
        <v>101</v>
      </c>
      <c r="N115" t="s">
        <v>102</v>
      </c>
      <c r="O115" t="s">
        <v>103</v>
      </c>
    </row>
    <row r="116" spans="1:16" x14ac:dyDescent="0.25">
      <c r="A116" s="14"/>
      <c r="B116" s="28"/>
      <c r="C116" s="28"/>
      <c r="D116" t="s">
        <v>100</v>
      </c>
      <c r="E116" t="s">
        <v>50</v>
      </c>
      <c r="F116">
        <v>1</v>
      </c>
      <c r="G116" s="29">
        <v>0.21</v>
      </c>
      <c r="H116" t="s">
        <v>30</v>
      </c>
      <c r="I116" s="30">
        <f>IFERROR(VLOOKUP(H116,CARTON_LOOKUP!$A:$E,3,0),"")</f>
      </c>
      <c r="J116" s="30">
        <f>IFERROR(VLOOKUP(H116,CARTON_LOOKUP!$A:$E,4,0),"")</f>
      </c>
      <c r="K116" s="30">
        <f>IFERROR(VLOOKUP(H116,CARTON_LOOKUP!$A:$E,5,0),"")</f>
      </c>
      <c r="L116" s="31">
        <f>IFERROR(VLOOKUP(H116,CARTON_LOOKUP!$A:$E,2,0),"")</f>
      </c>
      <c r="M116" t="s">
        <v>101</v>
      </c>
      <c r="N116" t="s">
        <v>102</v>
      </c>
      <c r="O116" t="s">
        <v>103</v>
      </c>
    </row>
    <row r="117" spans="1:16" x14ac:dyDescent="0.25">
      <c r="A117" s="14"/>
      <c r="B117" s="28"/>
      <c r="C117" s="28"/>
      <c r="D117" t="s">
        <v>100</v>
      </c>
      <c r="E117" t="s">
        <v>50</v>
      </c>
      <c r="F117">
        <v>1</v>
      </c>
      <c r="G117" s="29">
        <v>0.21</v>
      </c>
      <c r="H117" t="s">
        <v>30</v>
      </c>
      <c r="I117" s="30">
        <f>IFERROR(VLOOKUP(H117,CARTON_LOOKUP!$A:$E,3,0),"")</f>
      </c>
      <c r="J117" s="30">
        <f>IFERROR(VLOOKUP(H117,CARTON_LOOKUP!$A:$E,4,0),"")</f>
      </c>
      <c r="K117" s="30">
        <f>IFERROR(VLOOKUP(H117,CARTON_LOOKUP!$A:$E,5,0),"")</f>
      </c>
      <c r="L117" s="31">
        <f>IFERROR(VLOOKUP(H117,CARTON_LOOKUP!$A:$E,2,0),"")</f>
      </c>
      <c r="M117" t="s">
        <v>101</v>
      </c>
      <c r="N117" t="s">
        <v>102</v>
      </c>
      <c r="O117" t="s">
        <v>103</v>
      </c>
    </row>
    <row r="118" spans="1:16" x14ac:dyDescent="0.25">
      <c r="A118" s="14"/>
      <c r="B118" s="28"/>
      <c r="C118" s="28"/>
      <c r="D118" t="s">
        <v>100</v>
      </c>
      <c r="E118" t="s">
        <v>50</v>
      </c>
      <c r="F118">
        <v>1</v>
      </c>
      <c r="G118" s="29">
        <v>0.21</v>
      </c>
      <c r="H118" t="s">
        <v>30</v>
      </c>
      <c r="I118" s="30">
        <f>IFERROR(VLOOKUP(H118,CARTON_LOOKUP!$A:$E,3,0),"")</f>
      </c>
      <c r="J118" s="30">
        <f>IFERROR(VLOOKUP(H118,CARTON_LOOKUP!$A:$E,4,0),"")</f>
      </c>
      <c r="K118" s="30">
        <f>IFERROR(VLOOKUP(H118,CARTON_LOOKUP!$A:$E,5,0),"")</f>
      </c>
      <c r="L118" s="31">
        <f>IFERROR(VLOOKUP(H118,CARTON_LOOKUP!$A:$E,2,0),"")</f>
      </c>
      <c r="M118" t="s">
        <v>101</v>
      </c>
      <c r="N118" t="s">
        <v>102</v>
      </c>
      <c r="O118" t="s">
        <v>103</v>
      </c>
    </row>
    <row r="119" spans="1:16" x14ac:dyDescent="0.25">
      <c r="A119" s="14"/>
      <c r="B119" s="28"/>
      <c r="C119" s="28"/>
      <c r="D119" t="s">
        <v>100</v>
      </c>
      <c r="E119" t="s">
        <v>50</v>
      </c>
      <c r="F119">
        <v>1</v>
      </c>
      <c r="G119" s="29">
        <v>0.21</v>
      </c>
      <c r="H119" t="s">
        <v>30</v>
      </c>
      <c r="I119" s="30">
        <f>IFERROR(VLOOKUP(H119,CARTON_LOOKUP!$A:$E,3,0),"")</f>
      </c>
      <c r="J119" s="30">
        <f>IFERROR(VLOOKUP(H119,CARTON_LOOKUP!$A:$E,4,0),"")</f>
      </c>
      <c r="K119" s="30">
        <f>IFERROR(VLOOKUP(H119,CARTON_LOOKUP!$A:$E,5,0),"")</f>
      </c>
      <c r="L119" s="31">
        <f>IFERROR(VLOOKUP(H119,CARTON_LOOKUP!$A:$E,2,0),"")</f>
      </c>
      <c r="M119" t="s">
        <v>101</v>
      </c>
      <c r="N119" t="s">
        <v>102</v>
      </c>
      <c r="O119" t="s">
        <v>103</v>
      </c>
    </row>
    <row r="120" spans="1:16" x14ac:dyDescent="0.25">
      <c r="A120" s="14"/>
      <c r="B120" s="28"/>
      <c r="C120" s="28"/>
      <c r="D120" t="s">
        <v>100</v>
      </c>
      <c r="E120" t="s">
        <v>50</v>
      </c>
      <c r="F120">
        <v>1</v>
      </c>
      <c r="G120" s="29">
        <v>0.21</v>
      </c>
      <c r="H120" t="s">
        <v>30</v>
      </c>
      <c r="I120" s="30">
        <f>IFERROR(VLOOKUP(H120,CARTON_LOOKUP!$A:$E,3,0),"")</f>
      </c>
      <c r="J120" s="30">
        <f>IFERROR(VLOOKUP(H120,CARTON_LOOKUP!$A:$E,4,0),"")</f>
      </c>
      <c r="K120" s="30">
        <f>IFERROR(VLOOKUP(H120,CARTON_LOOKUP!$A:$E,5,0),"")</f>
      </c>
      <c r="L120" s="31">
        <f>IFERROR(VLOOKUP(H120,CARTON_LOOKUP!$A:$E,2,0),"")</f>
      </c>
      <c r="M120" t="s">
        <v>101</v>
      </c>
      <c r="N120" t="s">
        <v>102</v>
      </c>
      <c r="O120" t="s">
        <v>103</v>
      </c>
    </row>
    <row r="121" spans="1:16" x14ac:dyDescent="0.25">
      <c r="A121" s="14"/>
      <c r="B121" s="28"/>
      <c r="C121" s="28"/>
      <c r="D121" t="s">
        <v>100</v>
      </c>
      <c r="E121" t="s">
        <v>50</v>
      </c>
      <c r="F121">
        <v>1</v>
      </c>
      <c r="G121" s="29">
        <v>0.21</v>
      </c>
      <c r="H121" t="s">
        <v>30</v>
      </c>
      <c r="I121" s="30">
        <f>IFERROR(VLOOKUP(H121,CARTON_LOOKUP!$A:$E,3,0),"")</f>
      </c>
      <c r="J121" s="30">
        <f>IFERROR(VLOOKUP(H121,CARTON_LOOKUP!$A:$E,4,0),"")</f>
      </c>
      <c r="K121" s="30">
        <f>IFERROR(VLOOKUP(H121,CARTON_LOOKUP!$A:$E,5,0),"")</f>
      </c>
      <c r="L121" s="31">
        <f>IFERROR(VLOOKUP(H121,CARTON_LOOKUP!$A:$E,2,0),"")</f>
      </c>
      <c r="M121" t="s">
        <v>101</v>
      </c>
      <c r="N121" t="s">
        <v>102</v>
      </c>
      <c r="O121" t="s">
        <v>103</v>
      </c>
    </row>
    <row r="122" spans="1:16" x14ac:dyDescent="0.25">
      <c r="A122" s="14"/>
      <c r="B122" s="28"/>
      <c r="C122" s="28"/>
      <c r="D122" t="s">
        <v>100</v>
      </c>
      <c r="E122" t="s">
        <v>50</v>
      </c>
      <c r="F122">
        <v>1</v>
      </c>
      <c r="G122" s="29">
        <v>0.21</v>
      </c>
      <c r="H122" t="s">
        <v>30</v>
      </c>
      <c r="I122" s="30">
        <f>IFERROR(VLOOKUP(H122,CARTON_LOOKUP!$A:$E,3,0),"")</f>
      </c>
      <c r="J122" s="30">
        <f>IFERROR(VLOOKUP(H122,CARTON_LOOKUP!$A:$E,4,0),"")</f>
      </c>
      <c r="K122" s="30">
        <f>IFERROR(VLOOKUP(H122,CARTON_LOOKUP!$A:$E,5,0),"")</f>
      </c>
      <c r="L122" s="31">
        <f>IFERROR(VLOOKUP(H122,CARTON_LOOKUP!$A:$E,2,0),"")</f>
      </c>
      <c r="M122" t="s">
        <v>101</v>
      </c>
      <c r="N122" t="s">
        <v>102</v>
      </c>
      <c r="O122" t="s">
        <v>103</v>
      </c>
    </row>
    <row r="123" spans="1:16" x14ac:dyDescent="0.25">
      <c r="A123" s="14"/>
      <c r="B123" s="28"/>
      <c r="C123" s="28"/>
      <c r="D123" t="s">
        <v>100</v>
      </c>
      <c r="E123" t="s">
        <v>50</v>
      </c>
      <c r="F123">
        <v>1</v>
      </c>
      <c r="G123" s="29">
        <v>0.21</v>
      </c>
      <c r="H123" t="s">
        <v>30</v>
      </c>
      <c r="I123" s="30">
        <f>IFERROR(VLOOKUP(H123,CARTON_LOOKUP!$A:$E,3,0),"")</f>
      </c>
      <c r="J123" s="30">
        <f>IFERROR(VLOOKUP(H123,CARTON_LOOKUP!$A:$E,4,0),"")</f>
      </c>
      <c r="K123" s="30">
        <f>IFERROR(VLOOKUP(H123,CARTON_LOOKUP!$A:$E,5,0),"")</f>
      </c>
      <c r="L123" s="31">
        <f>IFERROR(VLOOKUP(H123,CARTON_LOOKUP!$A:$E,2,0),"")</f>
      </c>
      <c r="M123" t="s">
        <v>101</v>
      </c>
      <c r="N123" t="s">
        <v>102</v>
      </c>
      <c r="O123" t="s">
        <v>103</v>
      </c>
    </row>
    <row r="124" spans="1:16" x14ac:dyDescent="0.25">
      <c r="A124" s="14"/>
      <c r="B124" s="28"/>
      <c r="C124" s="28"/>
      <c r="D124" t="s">
        <v>100</v>
      </c>
      <c r="E124" t="s">
        <v>50</v>
      </c>
      <c r="F124">
        <v>1</v>
      </c>
      <c r="G124" s="29">
        <v>0.21</v>
      </c>
      <c r="H124" t="s">
        <v>30</v>
      </c>
      <c r="I124" s="30">
        <f>IFERROR(VLOOKUP(H124,CARTON_LOOKUP!$A:$E,3,0),"")</f>
      </c>
      <c r="J124" s="30">
        <f>IFERROR(VLOOKUP(H124,CARTON_LOOKUP!$A:$E,4,0),"")</f>
      </c>
      <c r="K124" s="30">
        <f>IFERROR(VLOOKUP(H124,CARTON_LOOKUP!$A:$E,5,0),"")</f>
      </c>
      <c r="L124" s="31">
        <f>IFERROR(VLOOKUP(H124,CARTON_LOOKUP!$A:$E,2,0),"")</f>
      </c>
      <c r="M124" t="s">
        <v>101</v>
      </c>
      <c r="N124" t="s">
        <v>102</v>
      </c>
      <c r="O124" t="s">
        <v>103</v>
      </c>
    </row>
    <row r="125" spans="1:16" x14ac:dyDescent="0.25">
      <c r="A125" s="14"/>
      <c r="B125" s="28"/>
      <c r="C125" s="28"/>
      <c r="D125" t="s">
        <v>100</v>
      </c>
      <c r="E125" t="s">
        <v>50</v>
      </c>
      <c r="F125">
        <v>1</v>
      </c>
      <c r="G125" s="29">
        <v>0.21</v>
      </c>
      <c r="H125" t="s">
        <v>30</v>
      </c>
      <c r="I125" s="30">
        <f>IFERROR(VLOOKUP(H125,CARTON_LOOKUP!$A:$E,3,0),"")</f>
      </c>
      <c r="J125" s="30">
        <f>IFERROR(VLOOKUP(H125,CARTON_LOOKUP!$A:$E,4,0),"")</f>
      </c>
      <c r="K125" s="30">
        <f>IFERROR(VLOOKUP(H125,CARTON_LOOKUP!$A:$E,5,0),"")</f>
      </c>
      <c r="L125" s="31">
        <f>IFERROR(VLOOKUP(H125,CARTON_LOOKUP!$A:$E,2,0),"")</f>
      </c>
      <c r="M125" t="s">
        <v>101</v>
      </c>
      <c r="N125" t="s">
        <v>102</v>
      </c>
      <c r="O125" t="s">
        <v>103</v>
      </c>
    </row>
    <row r="126" spans="1:16" x14ac:dyDescent="0.25">
      <c r="A126" s="14"/>
      <c r="B126" s="28"/>
      <c r="C126" s="28"/>
      <c r="D126" t="s">
        <v>100</v>
      </c>
      <c r="E126" t="s">
        <v>50</v>
      </c>
      <c r="F126">
        <v>1</v>
      </c>
      <c r="G126" s="29">
        <v>0.21</v>
      </c>
      <c r="H126" t="s">
        <v>30</v>
      </c>
      <c r="I126" s="30">
        <f>IFERROR(VLOOKUP(H126,CARTON_LOOKUP!$A:$E,3,0),"")</f>
      </c>
      <c r="J126" s="30">
        <f>IFERROR(VLOOKUP(H126,CARTON_LOOKUP!$A:$E,4,0),"")</f>
      </c>
      <c r="K126" s="30">
        <f>IFERROR(VLOOKUP(H126,CARTON_LOOKUP!$A:$E,5,0),"")</f>
      </c>
      <c r="L126" s="31">
        <f>IFERROR(VLOOKUP(H126,CARTON_LOOKUP!$A:$E,2,0),"")</f>
      </c>
      <c r="M126" t="s">
        <v>101</v>
      </c>
      <c r="N126" t="s">
        <v>102</v>
      </c>
      <c r="O126" t="s">
        <v>103</v>
      </c>
    </row>
    <row r="127" spans="1:16" x14ac:dyDescent="0.25">
      <c r="A127" s="14"/>
      <c r="B127" s="28"/>
      <c r="C127" s="28"/>
      <c r="D127" t="s">
        <v>100</v>
      </c>
      <c r="E127" t="s">
        <v>50</v>
      </c>
      <c r="F127">
        <v>1</v>
      </c>
      <c r="G127" s="29">
        <v>0.21</v>
      </c>
      <c r="H127" t="s">
        <v>30</v>
      </c>
      <c r="I127" s="30">
        <f>IFERROR(VLOOKUP(H127,CARTON_LOOKUP!$A:$E,3,0),"")</f>
      </c>
      <c r="J127" s="30">
        <f>IFERROR(VLOOKUP(H127,CARTON_LOOKUP!$A:$E,4,0),"")</f>
      </c>
      <c r="K127" s="30">
        <f>IFERROR(VLOOKUP(H127,CARTON_LOOKUP!$A:$E,5,0),"")</f>
      </c>
      <c r="L127" s="31">
        <f>IFERROR(VLOOKUP(H127,CARTON_LOOKUP!$A:$E,2,0),"")</f>
      </c>
      <c r="M127" t="s">
        <v>101</v>
      </c>
      <c r="N127" t="s">
        <v>102</v>
      </c>
      <c r="O127" t="s">
        <v>103</v>
      </c>
    </row>
    <row r="128" spans="1:16" x14ac:dyDescent="0.25">
      <c r="A128" s="14"/>
      <c r="B128" s="28"/>
      <c r="C128" s="28"/>
      <c r="D128" t="s">
        <v>100</v>
      </c>
      <c r="E128" t="s">
        <v>50</v>
      </c>
      <c r="F128">
        <v>1</v>
      </c>
      <c r="G128" s="29">
        <v>0.21</v>
      </c>
      <c r="H128" t="s">
        <v>30</v>
      </c>
      <c r="I128" s="30">
        <f>IFERROR(VLOOKUP(H128,CARTON_LOOKUP!$A:$E,3,0),"")</f>
      </c>
      <c r="J128" s="30">
        <f>IFERROR(VLOOKUP(H128,CARTON_LOOKUP!$A:$E,4,0),"")</f>
      </c>
      <c r="K128" s="30">
        <f>IFERROR(VLOOKUP(H128,CARTON_LOOKUP!$A:$E,5,0),"")</f>
      </c>
      <c r="L128" s="31">
        <f>IFERROR(VLOOKUP(H128,CARTON_LOOKUP!$A:$E,2,0),"")</f>
      </c>
      <c r="M128" t="s">
        <v>101</v>
      </c>
      <c r="N128" t="s">
        <v>102</v>
      </c>
      <c r="O128" t="s">
        <v>103</v>
      </c>
    </row>
    <row r="129" spans="1:16" x14ac:dyDescent="0.25">
      <c r="A129" s="14"/>
      <c r="B129" s="28"/>
      <c r="C129" s="28"/>
      <c r="D129" t="s">
        <v>100</v>
      </c>
      <c r="E129" t="s">
        <v>50</v>
      </c>
      <c r="F129">
        <v>1</v>
      </c>
      <c r="G129" s="29">
        <v>0.21</v>
      </c>
      <c r="H129" t="s">
        <v>30</v>
      </c>
      <c r="I129" s="30">
        <f>IFERROR(VLOOKUP(H129,CARTON_LOOKUP!$A:$E,3,0),"")</f>
      </c>
      <c r="J129" s="30">
        <f>IFERROR(VLOOKUP(H129,CARTON_LOOKUP!$A:$E,4,0),"")</f>
      </c>
      <c r="K129" s="30">
        <f>IFERROR(VLOOKUP(H129,CARTON_LOOKUP!$A:$E,5,0),"")</f>
      </c>
      <c r="L129" s="31">
        <f>IFERROR(VLOOKUP(H129,CARTON_LOOKUP!$A:$E,2,0),"")</f>
      </c>
      <c r="M129" t="s">
        <v>101</v>
      </c>
      <c r="N129" t="s">
        <v>102</v>
      </c>
      <c r="O129" t="s">
        <v>103</v>
      </c>
    </row>
    <row r="130" spans="1:16" x14ac:dyDescent="0.25">
      <c r="A130" s="14"/>
      <c r="B130" s="28"/>
      <c r="C130" s="28"/>
      <c r="D130" t="s">
        <v>100</v>
      </c>
      <c r="E130" t="s">
        <v>50</v>
      </c>
      <c r="F130">
        <v>1</v>
      </c>
      <c r="G130" s="29">
        <v>0.21</v>
      </c>
      <c r="H130" t="s">
        <v>30</v>
      </c>
      <c r="I130" s="30">
        <f>IFERROR(VLOOKUP(H130,CARTON_LOOKUP!$A:$E,3,0),"")</f>
      </c>
      <c r="J130" s="30">
        <f>IFERROR(VLOOKUP(H130,CARTON_LOOKUP!$A:$E,4,0),"")</f>
      </c>
      <c r="K130" s="30">
        <f>IFERROR(VLOOKUP(H130,CARTON_LOOKUP!$A:$E,5,0),"")</f>
      </c>
      <c r="L130" s="31">
        <f>IFERROR(VLOOKUP(H130,CARTON_LOOKUP!$A:$E,2,0),"")</f>
      </c>
      <c r="M130" t="s">
        <v>101</v>
      </c>
      <c r="N130" t="s">
        <v>102</v>
      </c>
      <c r="O130" t="s">
        <v>103</v>
      </c>
    </row>
    <row r="131" spans="1:16" x14ac:dyDescent="0.25">
      <c r="A131" s="14"/>
      <c r="B131" s="28"/>
      <c r="C131" s="28"/>
      <c r="D131" t="s">
        <v>100</v>
      </c>
      <c r="E131" t="s">
        <v>50</v>
      </c>
      <c r="F131">
        <v>1</v>
      </c>
      <c r="G131" s="29">
        <v>0.21</v>
      </c>
      <c r="H131" t="s">
        <v>30</v>
      </c>
      <c r="I131" s="30">
        <f>IFERROR(VLOOKUP(H131,CARTON_LOOKUP!$A:$E,3,0),"")</f>
      </c>
      <c r="J131" s="30">
        <f>IFERROR(VLOOKUP(H131,CARTON_LOOKUP!$A:$E,4,0),"")</f>
      </c>
      <c r="K131" s="30">
        <f>IFERROR(VLOOKUP(H131,CARTON_LOOKUP!$A:$E,5,0),"")</f>
      </c>
      <c r="L131" s="31">
        <f>IFERROR(VLOOKUP(H131,CARTON_LOOKUP!$A:$E,2,0),"")</f>
      </c>
      <c r="M131" t="s">
        <v>101</v>
      </c>
      <c r="N131" t="s">
        <v>102</v>
      </c>
      <c r="O131" t="s">
        <v>103</v>
      </c>
    </row>
    <row r="132" spans="1:16" x14ac:dyDescent="0.25">
      <c r="A132" s="14"/>
      <c r="B132" s="28"/>
      <c r="C132" s="28"/>
      <c r="D132" t="s">
        <v>100</v>
      </c>
      <c r="E132" t="s">
        <v>50</v>
      </c>
      <c r="F132">
        <v>1</v>
      </c>
      <c r="G132" s="29">
        <v>0.21</v>
      </c>
      <c r="H132" t="s">
        <v>30</v>
      </c>
      <c r="I132" s="30">
        <f>IFERROR(VLOOKUP(H132,CARTON_LOOKUP!$A:$E,3,0),"")</f>
      </c>
      <c r="J132" s="30">
        <f>IFERROR(VLOOKUP(H132,CARTON_LOOKUP!$A:$E,4,0),"")</f>
      </c>
      <c r="K132" s="30">
        <f>IFERROR(VLOOKUP(H132,CARTON_LOOKUP!$A:$E,5,0),"")</f>
      </c>
      <c r="L132" s="31">
        <f>IFERROR(VLOOKUP(H132,CARTON_LOOKUP!$A:$E,2,0),"")</f>
      </c>
      <c r="M132" t="s">
        <v>101</v>
      </c>
      <c r="N132" t="s">
        <v>102</v>
      </c>
      <c r="O132" t="s">
        <v>103</v>
      </c>
    </row>
    <row r="133" spans="1:16" x14ac:dyDescent="0.25">
      <c r="A133" s="14"/>
      <c r="B133" s="28"/>
      <c r="C133" s="28"/>
      <c r="D133" t="s">
        <v>100</v>
      </c>
      <c r="E133" t="s">
        <v>50</v>
      </c>
      <c r="F133">
        <v>1</v>
      </c>
      <c r="G133" s="29">
        <v>0.21</v>
      </c>
      <c r="H133" t="s">
        <v>30</v>
      </c>
      <c r="I133" s="30">
        <f>IFERROR(VLOOKUP(H133,CARTON_LOOKUP!$A:$E,3,0),"")</f>
      </c>
      <c r="J133" s="30">
        <f>IFERROR(VLOOKUP(H133,CARTON_LOOKUP!$A:$E,4,0),"")</f>
      </c>
      <c r="K133" s="30">
        <f>IFERROR(VLOOKUP(H133,CARTON_LOOKUP!$A:$E,5,0),"")</f>
      </c>
      <c r="L133" s="31">
        <f>IFERROR(VLOOKUP(H133,CARTON_LOOKUP!$A:$E,2,0),"")</f>
      </c>
      <c r="M133" t="s">
        <v>101</v>
      </c>
      <c r="N133" t="s">
        <v>102</v>
      </c>
      <c r="O133" t="s">
        <v>103</v>
      </c>
    </row>
    <row r="134" spans="1:16" x14ac:dyDescent="0.25">
      <c r="A134" s="14"/>
      <c r="B134" s="28"/>
      <c r="C134" s="28"/>
      <c r="D134" t="s">
        <v>100</v>
      </c>
      <c r="E134" t="s">
        <v>50</v>
      </c>
      <c r="F134">
        <v>1</v>
      </c>
      <c r="G134" s="29">
        <v>0.21</v>
      </c>
      <c r="H134" t="s">
        <v>30</v>
      </c>
      <c r="I134" s="30">
        <f>IFERROR(VLOOKUP(H134,CARTON_LOOKUP!$A:$E,3,0),"")</f>
      </c>
      <c r="J134" s="30">
        <f>IFERROR(VLOOKUP(H134,CARTON_LOOKUP!$A:$E,4,0),"")</f>
      </c>
      <c r="K134" s="30">
        <f>IFERROR(VLOOKUP(H134,CARTON_LOOKUP!$A:$E,5,0),"")</f>
      </c>
      <c r="L134" s="31">
        <f>IFERROR(VLOOKUP(H134,CARTON_LOOKUP!$A:$E,2,0),"")</f>
      </c>
      <c r="M134" t="s">
        <v>101</v>
      </c>
      <c r="N134" t="s">
        <v>102</v>
      </c>
      <c r="O134" t="s">
        <v>103</v>
      </c>
    </row>
    <row r="135" spans="1:16" x14ac:dyDescent="0.25">
      <c r="A135" s="14"/>
      <c r="B135" s="28"/>
      <c r="C135" s="28"/>
      <c r="D135" t="s">
        <v>100</v>
      </c>
      <c r="E135" t="s">
        <v>50</v>
      </c>
      <c r="F135">
        <v>1</v>
      </c>
      <c r="G135" s="29">
        <v>0.21</v>
      </c>
      <c r="H135" t="s">
        <v>30</v>
      </c>
      <c r="I135" s="30">
        <f>IFERROR(VLOOKUP(H135,CARTON_LOOKUP!$A:$E,3,0),"")</f>
      </c>
      <c r="J135" s="30">
        <f>IFERROR(VLOOKUP(H135,CARTON_LOOKUP!$A:$E,4,0),"")</f>
      </c>
      <c r="K135" s="30">
        <f>IFERROR(VLOOKUP(H135,CARTON_LOOKUP!$A:$E,5,0),"")</f>
      </c>
      <c r="L135" s="31">
        <f>IFERROR(VLOOKUP(H135,CARTON_LOOKUP!$A:$E,2,0),"")</f>
      </c>
      <c r="M135" t="s">
        <v>101</v>
      </c>
      <c r="N135" t="s">
        <v>102</v>
      </c>
      <c r="O135" t="s">
        <v>103</v>
      </c>
    </row>
    <row r="136" spans="1:16" x14ac:dyDescent="0.25">
      <c r="A136" s="14"/>
      <c r="B136" s="28"/>
      <c r="C136" s="28"/>
      <c r="D136" t="s">
        <v>100</v>
      </c>
      <c r="E136" t="s">
        <v>50</v>
      </c>
      <c r="F136">
        <v>1</v>
      </c>
      <c r="G136" s="29">
        <v>0.21</v>
      </c>
      <c r="H136" t="s">
        <v>30</v>
      </c>
      <c r="I136" s="30">
        <f>IFERROR(VLOOKUP(H136,CARTON_LOOKUP!$A:$E,3,0),"")</f>
      </c>
      <c r="J136" s="30">
        <f>IFERROR(VLOOKUP(H136,CARTON_LOOKUP!$A:$E,4,0),"")</f>
      </c>
      <c r="K136" s="30">
        <f>IFERROR(VLOOKUP(H136,CARTON_LOOKUP!$A:$E,5,0),"")</f>
      </c>
      <c r="L136" s="31">
        <f>IFERROR(VLOOKUP(H136,CARTON_LOOKUP!$A:$E,2,0),"")</f>
      </c>
      <c r="M136" t="s">
        <v>101</v>
      </c>
      <c r="N136" t="s">
        <v>102</v>
      </c>
      <c r="O136" t="s">
        <v>103</v>
      </c>
    </row>
    <row r="137" spans="1:16" x14ac:dyDescent="0.25">
      <c r="A137" s="14"/>
      <c r="B137" s="28"/>
      <c r="C137" s="28"/>
      <c r="D137" t="s">
        <v>100</v>
      </c>
      <c r="E137" t="s">
        <v>50</v>
      </c>
      <c r="F137">
        <v>1</v>
      </c>
      <c r="G137" s="29">
        <v>0.21</v>
      </c>
      <c r="H137" t="s">
        <v>30</v>
      </c>
      <c r="I137" s="30">
        <f>IFERROR(VLOOKUP(H137,CARTON_LOOKUP!$A:$E,3,0),"")</f>
      </c>
      <c r="J137" s="30">
        <f>IFERROR(VLOOKUP(H137,CARTON_LOOKUP!$A:$E,4,0),"")</f>
      </c>
      <c r="K137" s="30">
        <f>IFERROR(VLOOKUP(H137,CARTON_LOOKUP!$A:$E,5,0),"")</f>
      </c>
      <c r="L137" s="31">
        <f>IFERROR(VLOOKUP(H137,CARTON_LOOKUP!$A:$E,2,0),"")</f>
      </c>
      <c r="M137" t="s">
        <v>101</v>
      </c>
      <c r="N137" t="s">
        <v>102</v>
      </c>
      <c r="O137" t="s">
        <v>103</v>
      </c>
    </row>
    <row r="138" spans="1:16" x14ac:dyDescent="0.25">
      <c r="A138" s="14"/>
      <c r="B138" s="28"/>
      <c r="C138" s="28"/>
      <c r="D138" t="s">
        <v>100</v>
      </c>
      <c r="E138" t="s">
        <v>50</v>
      </c>
      <c r="F138">
        <v>1</v>
      </c>
      <c r="G138" s="29">
        <v>0.21</v>
      </c>
      <c r="H138" t="s">
        <v>30</v>
      </c>
      <c r="I138" s="30">
        <f>IFERROR(VLOOKUP(H138,CARTON_LOOKUP!$A:$E,3,0),"")</f>
      </c>
      <c r="J138" s="30">
        <f>IFERROR(VLOOKUP(H138,CARTON_LOOKUP!$A:$E,4,0),"")</f>
      </c>
      <c r="K138" s="30">
        <f>IFERROR(VLOOKUP(H138,CARTON_LOOKUP!$A:$E,5,0),"")</f>
      </c>
      <c r="L138" s="31">
        <f>IFERROR(VLOOKUP(H138,CARTON_LOOKUP!$A:$E,2,0),"")</f>
      </c>
      <c r="M138" t="s">
        <v>101</v>
      </c>
      <c r="N138" t="s">
        <v>102</v>
      </c>
      <c r="O138" t="s">
        <v>103</v>
      </c>
    </row>
    <row r="139" spans="1:16" x14ac:dyDescent="0.25">
      <c r="A139" s="14"/>
      <c r="B139" s="28"/>
      <c r="C139" s="28"/>
      <c r="D139" t="s">
        <v>100</v>
      </c>
      <c r="E139" t="s">
        <v>50</v>
      </c>
      <c r="F139">
        <v>1</v>
      </c>
      <c r="G139" s="29">
        <v>0.21</v>
      </c>
      <c r="H139" t="s">
        <v>30</v>
      </c>
      <c r="I139" s="30">
        <f>IFERROR(VLOOKUP(H139,CARTON_LOOKUP!$A:$E,3,0),"")</f>
      </c>
      <c r="J139" s="30">
        <f>IFERROR(VLOOKUP(H139,CARTON_LOOKUP!$A:$E,4,0),"")</f>
      </c>
      <c r="K139" s="30">
        <f>IFERROR(VLOOKUP(H139,CARTON_LOOKUP!$A:$E,5,0),"")</f>
      </c>
      <c r="L139" s="31">
        <f>IFERROR(VLOOKUP(H139,CARTON_LOOKUP!$A:$E,2,0),"")</f>
      </c>
      <c r="M139" t="s">
        <v>101</v>
      </c>
      <c r="N139" t="s">
        <v>102</v>
      </c>
      <c r="O139" t="s">
        <v>103</v>
      </c>
    </row>
    <row r="140" spans="1:16" x14ac:dyDescent="0.25">
      <c r="A140" s="14"/>
      <c r="B140" s="28"/>
      <c r="C140" s="28"/>
      <c r="D140" t="s">
        <v>100</v>
      </c>
      <c r="E140" t="s">
        <v>50</v>
      </c>
      <c r="F140">
        <v>1</v>
      </c>
      <c r="G140" s="29">
        <v>0.21</v>
      </c>
      <c r="H140" t="s">
        <v>30</v>
      </c>
      <c r="I140" s="30">
        <f>IFERROR(VLOOKUP(H140,CARTON_LOOKUP!$A:$E,3,0),"")</f>
      </c>
      <c r="J140" s="30">
        <f>IFERROR(VLOOKUP(H140,CARTON_LOOKUP!$A:$E,4,0),"")</f>
      </c>
      <c r="K140" s="30">
        <f>IFERROR(VLOOKUP(H140,CARTON_LOOKUP!$A:$E,5,0),"")</f>
      </c>
      <c r="L140" s="31">
        <f>IFERROR(VLOOKUP(H140,CARTON_LOOKUP!$A:$E,2,0),"")</f>
      </c>
      <c r="M140" t="s">
        <v>101</v>
      </c>
      <c r="N140" t="s">
        <v>102</v>
      </c>
      <c r="O140" t="s">
        <v>103</v>
      </c>
    </row>
    <row r="141" spans="1:16" x14ac:dyDescent="0.25">
      <c r="A141" s="14"/>
      <c r="B141" s="28"/>
      <c r="C141" s="28"/>
      <c r="D141" t="s">
        <v>100</v>
      </c>
      <c r="E141" t="s">
        <v>50</v>
      </c>
      <c r="F141">
        <v>1</v>
      </c>
      <c r="G141" s="29">
        <v>0.21</v>
      </c>
      <c r="H141" t="s">
        <v>30</v>
      </c>
      <c r="I141" s="30">
        <f>IFERROR(VLOOKUP(H141,CARTON_LOOKUP!$A:$E,3,0),"")</f>
      </c>
      <c r="J141" s="30">
        <f>IFERROR(VLOOKUP(H141,CARTON_LOOKUP!$A:$E,4,0),"")</f>
      </c>
      <c r="K141" s="30">
        <f>IFERROR(VLOOKUP(H141,CARTON_LOOKUP!$A:$E,5,0),"")</f>
      </c>
      <c r="L141" s="31">
        <f>IFERROR(VLOOKUP(H141,CARTON_LOOKUP!$A:$E,2,0),"")</f>
      </c>
      <c r="M141" t="s">
        <v>101</v>
      </c>
      <c r="N141" t="s">
        <v>102</v>
      </c>
      <c r="O141" t="s">
        <v>103</v>
      </c>
    </row>
    <row r="142" spans="1:16" x14ac:dyDescent="0.25">
      <c r="A142" s="14"/>
      <c r="B142" s="28"/>
      <c r="C142" s="28"/>
      <c r="D142" t="s">
        <v>100</v>
      </c>
      <c r="E142" t="s">
        <v>50</v>
      </c>
      <c r="F142">
        <v>1</v>
      </c>
      <c r="G142" s="29">
        <v>0.21</v>
      </c>
      <c r="H142" t="s">
        <v>30</v>
      </c>
      <c r="I142" s="30">
        <f>IFERROR(VLOOKUP(H142,CARTON_LOOKUP!$A:$E,3,0),"")</f>
      </c>
      <c r="J142" s="30">
        <f>IFERROR(VLOOKUP(H142,CARTON_LOOKUP!$A:$E,4,0),"")</f>
      </c>
      <c r="K142" s="30">
        <f>IFERROR(VLOOKUP(H142,CARTON_LOOKUP!$A:$E,5,0),"")</f>
      </c>
      <c r="L142" s="31">
        <f>IFERROR(VLOOKUP(H142,CARTON_LOOKUP!$A:$E,2,0),"")</f>
      </c>
      <c r="M142" t="s">
        <v>101</v>
      </c>
      <c r="N142" t="s">
        <v>102</v>
      </c>
      <c r="O142" t="s">
        <v>103</v>
      </c>
    </row>
    <row r="143" spans="1:16" x14ac:dyDescent="0.25">
      <c r="A143" s="14"/>
      <c r="B143" s="28"/>
      <c r="C143" s="28"/>
      <c r="D143" t="s">
        <v>100</v>
      </c>
      <c r="E143" t="s">
        <v>50</v>
      </c>
      <c r="F143">
        <v>1</v>
      </c>
      <c r="G143" s="29">
        <v>0.21</v>
      </c>
      <c r="H143" t="s">
        <v>30</v>
      </c>
      <c r="I143" s="30">
        <f>IFERROR(VLOOKUP(H143,CARTON_LOOKUP!$A:$E,3,0),"")</f>
      </c>
      <c r="J143" s="30">
        <f>IFERROR(VLOOKUP(H143,CARTON_LOOKUP!$A:$E,4,0),"")</f>
      </c>
      <c r="K143" s="30">
        <f>IFERROR(VLOOKUP(H143,CARTON_LOOKUP!$A:$E,5,0),"")</f>
      </c>
      <c r="L143" s="31">
        <f>IFERROR(VLOOKUP(H143,CARTON_LOOKUP!$A:$E,2,0),"")</f>
      </c>
      <c r="M143" t="s">
        <v>101</v>
      </c>
      <c r="N143" t="s">
        <v>102</v>
      </c>
      <c r="O143" t="s">
        <v>103</v>
      </c>
    </row>
    <row r="144" spans="1:16" x14ac:dyDescent="0.25">
      <c r="A144" s="14"/>
      <c r="B144" s="28"/>
      <c r="C144" s="28"/>
      <c r="D144" t="s">
        <v>100</v>
      </c>
      <c r="E144" t="s">
        <v>50</v>
      </c>
      <c r="F144">
        <v>1</v>
      </c>
      <c r="G144" s="29">
        <v>0.21</v>
      </c>
      <c r="H144" t="s">
        <v>30</v>
      </c>
      <c r="I144" s="30">
        <f>IFERROR(VLOOKUP(H144,CARTON_LOOKUP!$A:$E,3,0),"")</f>
      </c>
      <c r="J144" s="30">
        <f>IFERROR(VLOOKUP(H144,CARTON_LOOKUP!$A:$E,4,0),"")</f>
      </c>
      <c r="K144" s="30">
        <f>IFERROR(VLOOKUP(H144,CARTON_LOOKUP!$A:$E,5,0),"")</f>
      </c>
      <c r="L144" s="31">
        <f>IFERROR(VLOOKUP(H144,CARTON_LOOKUP!$A:$E,2,0),"")</f>
      </c>
      <c r="M144" t="s">
        <v>101</v>
      </c>
      <c r="N144" t="s">
        <v>102</v>
      </c>
      <c r="O144" t="s">
        <v>103</v>
      </c>
    </row>
    <row r="145" spans="1:16" x14ac:dyDescent="0.25">
      <c r="A145" s="14"/>
      <c r="B145" s="28"/>
      <c r="C145" s="28"/>
      <c r="D145" t="s">
        <v>100</v>
      </c>
      <c r="E145" t="s">
        <v>50</v>
      </c>
      <c r="F145">
        <v>1</v>
      </c>
      <c r="G145" s="29">
        <v>0.21</v>
      </c>
      <c r="H145" t="s">
        <v>30</v>
      </c>
      <c r="I145" s="30">
        <f>IFERROR(VLOOKUP(H145,CARTON_LOOKUP!$A:$E,3,0),"")</f>
      </c>
      <c r="J145" s="30">
        <f>IFERROR(VLOOKUP(H145,CARTON_LOOKUP!$A:$E,4,0),"")</f>
      </c>
      <c r="K145" s="30">
        <f>IFERROR(VLOOKUP(H145,CARTON_LOOKUP!$A:$E,5,0),"")</f>
      </c>
      <c r="L145" s="31">
        <f>IFERROR(VLOOKUP(H145,CARTON_LOOKUP!$A:$E,2,0),"")</f>
      </c>
      <c r="M145" t="s">
        <v>101</v>
      </c>
      <c r="N145" t="s">
        <v>102</v>
      </c>
      <c r="O145" t="s">
        <v>103</v>
      </c>
    </row>
    <row r="146" spans="1:16" x14ac:dyDescent="0.25">
      <c r="A146" s="14"/>
      <c r="B146" s="28"/>
      <c r="C146" s="28"/>
      <c r="D146" t="s">
        <v>100</v>
      </c>
      <c r="E146" t="s">
        <v>50</v>
      </c>
      <c r="F146">
        <v>1</v>
      </c>
      <c r="G146" s="29">
        <v>0.21</v>
      </c>
      <c r="H146" t="s">
        <v>30</v>
      </c>
      <c r="I146" s="30">
        <f>IFERROR(VLOOKUP(H146,CARTON_LOOKUP!$A:$E,3,0),"")</f>
      </c>
      <c r="J146" s="30">
        <f>IFERROR(VLOOKUP(H146,CARTON_LOOKUP!$A:$E,4,0),"")</f>
      </c>
      <c r="K146" s="30">
        <f>IFERROR(VLOOKUP(H146,CARTON_LOOKUP!$A:$E,5,0),"")</f>
      </c>
      <c r="L146" s="31">
        <f>IFERROR(VLOOKUP(H146,CARTON_LOOKUP!$A:$E,2,0),"")</f>
      </c>
      <c r="M146" t="s">
        <v>101</v>
      </c>
      <c r="N146" t="s">
        <v>102</v>
      </c>
      <c r="O146" t="s">
        <v>103</v>
      </c>
    </row>
    <row r="147" spans="1:16" x14ac:dyDescent="0.25">
      <c r="A147" s="14"/>
      <c r="B147" s="28"/>
      <c r="C147" s="28"/>
      <c r="D147" t="s">
        <v>100</v>
      </c>
      <c r="E147" t="s">
        <v>50</v>
      </c>
      <c r="F147">
        <v>1</v>
      </c>
      <c r="G147" s="29">
        <v>0.21</v>
      </c>
      <c r="H147" t="s">
        <v>30</v>
      </c>
      <c r="I147" s="30">
        <f>IFERROR(VLOOKUP(H147,CARTON_LOOKUP!$A:$E,3,0),"")</f>
      </c>
      <c r="J147" s="30">
        <f>IFERROR(VLOOKUP(H147,CARTON_LOOKUP!$A:$E,4,0),"")</f>
      </c>
      <c r="K147" s="30">
        <f>IFERROR(VLOOKUP(H147,CARTON_LOOKUP!$A:$E,5,0),"")</f>
      </c>
      <c r="L147" s="31">
        <f>IFERROR(VLOOKUP(H147,CARTON_LOOKUP!$A:$E,2,0),"")</f>
      </c>
      <c r="M147" t="s">
        <v>101</v>
      </c>
      <c r="N147" t="s">
        <v>102</v>
      </c>
      <c r="O147" t="s">
        <v>103</v>
      </c>
    </row>
    <row r="148" spans="1:16" x14ac:dyDescent="0.25">
      <c r="A148" s="14"/>
      <c r="B148" s="28"/>
      <c r="C148" s="28"/>
      <c r="D148" t="s">
        <v>100</v>
      </c>
      <c r="E148" t="s">
        <v>50</v>
      </c>
      <c r="F148">
        <v>1</v>
      </c>
      <c r="G148" s="29">
        <v>0.21</v>
      </c>
      <c r="H148" t="s">
        <v>30</v>
      </c>
      <c r="I148" s="30">
        <f>IFERROR(VLOOKUP(H148,CARTON_LOOKUP!$A:$E,3,0),"")</f>
      </c>
      <c r="J148" s="30">
        <f>IFERROR(VLOOKUP(H148,CARTON_LOOKUP!$A:$E,4,0),"")</f>
      </c>
      <c r="K148" s="30">
        <f>IFERROR(VLOOKUP(H148,CARTON_LOOKUP!$A:$E,5,0),"")</f>
      </c>
      <c r="L148" s="31">
        <f>IFERROR(VLOOKUP(H148,CARTON_LOOKUP!$A:$E,2,0),"")</f>
      </c>
      <c r="M148" t="s">
        <v>101</v>
      </c>
      <c r="N148" t="s">
        <v>102</v>
      </c>
      <c r="O148" t="s">
        <v>103</v>
      </c>
    </row>
    <row r="149" spans="1:16" x14ac:dyDescent="0.25">
      <c r="A149" s="14"/>
      <c r="B149" s="28"/>
      <c r="C149" s="28"/>
      <c r="D149" t="s">
        <v>100</v>
      </c>
      <c r="E149" t="s">
        <v>50</v>
      </c>
      <c r="F149">
        <v>1</v>
      </c>
      <c r="G149" s="29">
        <v>0.21</v>
      </c>
      <c r="H149" t="s">
        <v>30</v>
      </c>
      <c r="I149" s="30">
        <f>IFERROR(VLOOKUP(H149,CARTON_LOOKUP!$A:$E,3,0),"")</f>
      </c>
      <c r="J149" s="30">
        <f>IFERROR(VLOOKUP(H149,CARTON_LOOKUP!$A:$E,4,0),"")</f>
      </c>
      <c r="K149" s="30">
        <f>IFERROR(VLOOKUP(H149,CARTON_LOOKUP!$A:$E,5,0),"")</f>
      </c>
      <c r="L149" s="31">
        <f>IFERROR(VLOOKUP(H149,CARTON_LOOKUP!$A:$E,2,0),"")</f>
      </c>
      <c r="M149" t="s">
        <v>101</v>
      </c>
      <c r="N149" t="s">
        <v>102</v>
      </c>
      <c r="O149" t="s">
        <v>103</v>
      </c>
    </row>
    <row r="150" spans="1:16" x14ac:dyDescent="0.25">
      <c r="A150" s="14"/>
      <c r="B150" s="28"/>
      <c r="C150" s="28"/>
      <c r="D150" t="s">
        <v>100</v>
      </c>
      <c r="E150" t="s">
        <v>50</v>
      </c>
      <c r="F150">
        <v>1</v>
      </c>
      <c r="G150" s="29">
        <v>0.21</v>
      </c>
      <c r="H150" t="s">
        <v>30</v>
      </c>
      <c r="I150" s="30">
        <f>IFERROR(VLOOKUP(H150,CARTON_LOOKUP!$A:$E,3,0),"")</f>
      </c>
      <c r="J150" s="30">
        <f>IFERROR(VLOOKUP(H150,CARTON_LOOKUP!$A:$E,4,0),"")</f>
      </c>
      <c r="K150" s="30">
        <f>IFERROR(VLOOKUP(H150,CARTON_LOOKUP!$A:$E,5,0),"")</f>
      </c>
      <c r="L150" s="31">
        <f>IFERROR(VLOOKUP(H150,CARTON_LOOKUP!$A:$E,2,0),"")</f>
      </c>
      <c r="M150" t="s">
        <v>101</v>
      </c>
      <c r="N150" t="s">
        <v>102</v>
      </c>
      <c r="O150" t="s">
        <v>103</v>
      </c>
    </row>
    <row r="151" spans="1:16" x14ac:dyDescent="0.25">
      <c r="A151" s="14"/>
      <c r="B151" s="28"/>
      <c r="C151" s="28"/>
      <c r="D151" t="s">
        <v>100</v>
      </c>
      <c r="E151" t="s">
        <v>50</v>
      </c>
      <c r="F151">
        <v>1</v>
      </c>
      <c r="G151" s="29">
        <v>0.21</v>
      </c>
      <c r="H151" t="s">
        <v>30</v>
      </c>
      <c r="I151" s="30">
        <f>IFERROR(VLOOKUP(H151,CARTON_LOOKUP!$A:$E,3,0),"")</f>
      </c>
      <c r="J151" s="30">
        <f>IFERROR(VLOOKUP(H151,CARTON_LOOKUP!$A:$E,4,0),"")</f>
      </c>
      <c r="K151" s="30">
        <f>IFERROR(VLOOKUP(H151,CARTON_LOOKUP!$A:$E,5,0),"")</f>
      </c>
      <c r="L151" s="31">
        <f>IFERROR(VLOOKUP(H151,CARTON_LOOKUP!$A:$E,2,0),"")</f>
      </c>
      <c r="M151" t="s">
        <v>101</v>
      </c>
      <c r="N151" t="s">
        <v>102</v>
      </c>
      <c r="O151" t="s">
        <v>103</v>
      </c>
    </row>
    <row r="152" spans="1:16" x14ac:dyDescent="0.25">
      <c r="A152" s="14"/>
      <c r="B152" s="28"/>
      <c r="C152" s="28"/>
      <c r="D152" t="s">
        <v>100</v>
      </c>
      <c r="E152" t="s">
        <v>50</v>
      </c>
      <c r="F152">
        <v>1</v>
      </c>
      <c r="G152" s="29">
        <v>0.21</v>
      </c>
      <c r="H152" t="s">
        <v>30</v>
      </c>
      <c r="I152" s="30">
        <f>IFERROR(VLOOKUP(H152,CARTON_LOOKUP!$A:$E,3,0),"")</f>
      </c>
      <c r="J152" s="30">
        <f>IFERROR(VLOOKUP(H152,CARTON_LOOKUP!$A:$E,4,0),"")</f>
      </c>
      <c r="K152" s="30">
        <f>IFERROR(VLOOKUP(H152,CARTON_LOOKUP!$A:$E,5,0),"")</f>
      </c>
      <c r="L152" s="31">
        <f>IFERROR(VLOOKUP(H152,CARTON_LOOKUP!$A:$E,2,0),"")</f>
      </c>
      <c r="M152" t="s">
        <v>101</v>
      </c>
      <c r="N152" t="s">
        <v>102</v>
      </c>
      <c r="O152" t="s">
        <v>103</v>
      </c>
    </row>
    <row r="153" spans="1:16" x14ac:dyDescent="0.25">
      <c r="A153" s="14"/>
      <c r="B153" s="28"/>
      <c r="C153" s="28"/>
      <c r="D153" t="s">
        <v>100</v>
      </c>
      <c r="E153" t="s">
        <v>50</v>
      </c>
      <c r="F153">
        <v>1</v>
      </c>
      <c r="G153" s="29">
        <v>0.21</v>
      </c>
      <c r="H153" t="s">
        <v>30</v>
      </c>
      <c r="I153" s="30">
        <f>IFERROR(VLOOKUP(H153,CARTON_LOOKUP!$A:$E,3,0),"")</f>
      </c>
      <c r="J153" s="30">
        <f>IFERROR(VLOOKUP(H153,CARTON_LOOKUP!$A:$E,4,0),"")</f>
      </c>
      <c r="K153" s="30">
        <f>IFERROR(VLOOKUP(H153,CARTON_LOOKUP!$A:$E,5,0),"")</f>
      </c>
      <c r="L153" s="31">
        <f>IFERROR(VLOOKUP(H153,CARTON_LOOKUP!$A:$E,2,0),"")</f>
      </c>
      <c r="M153" t="s">
        <v>101</v>
      </c>
      <c r="N153" t="s">
        <v>102</v>
      </c>
      <c r="O153" t="s">
        <v>103</v>
      </c>
    </row>
    <row r="154" spans="1:16" x14ac:dyDescent="0.25">
      <c r="A154" s="14"/>
      <c r="B154" s="28"/>
      <c r="C154" s="28"/>
      <c r="D154" t="s">
        <v>100</v>
      </c>
      <c r="E154" t="s">
        <v>50</v>
      </c>
      <c r="F154">
        <v>1</v>
      </c>
      <c r="G154" s="29">
        <v>0.21</v>
      </c>
      <c r="H154" t="s">
        <v>30</v>
      </c>
      <c r="I154" s="30">
        <f>IFERROR(VLOOKUP(H154,CARTON_LOOKUP!$A:$E,3,0),"")</f>
      </c>
      <c r="J154" s="30">
        <f>IFERROR(VLOOKUP(H154,CARTON_LOOKUP!$A:$E,4,0),"")</f>
      </c>
      <c r="K154" s="30">
        <f>IFERROR(VLOOKUP(H154,CARTON_LOOKUP!$A:$E,5,0),"")</f>
      </c>
      <c r="L154" s="31">
        <f>IFERROR(VLOOKUP(H154,CARTON_LOOKUP!$A:$E,2,0),"")</f>
      </c>
      <c r="M154" t="s">
        <v>101</v>
      </c>
      <c r="N154" t="s">
        <v>102</v>
      </c>
      <c r="O154" t="s">
        <v>103</v>
      </c>
    </row>
    <row r="155" spans="1:16" x14ac:dyDescent="0.25">
      <c r="A155" s="14"/>
      <c r="B155" s="28"/>
      <c r="C155" s="28"/>
      <c r="D155" t="s">
        <v>100</v>
      </c>
      <c r="E155" t="s">
        <v>50</v>
      </c>
      <c r="F155">
        <v>1</v>
      </c>
      <c r="G155" s="29">
        <v>0.21</v>
      </c>
      <c r="H155" t="s">
        <v>30</v>
      </c>
      <c r="I155" s="30">
        <f>IFERROR(VLOOKUP(H155,CARTON_LOOKUP!$A:$E,3,0),"")</f>
      </c>
      <c r="J155" s="30">
        <f>IFERROR(VLOOKUP(H155,CARTON_LOOKUP!$A:$E,4,0),"")</f>
      </c>
      <c r="K155" s="30">
        <f>IFERROR(VLOOKUP(H155,CARTON_LOOKUP!$A:$E,5,0),"")</f>
      </c>
      <c r="L155" s="31">
        <f>IFERROR(VLOOKUP(H155,CARTON_LOOKUP!$A:$E,2,0),"")</f>
      </c>
      <c r="M155" t="s">
        <v>101</v>
      </c>
      <c r="N155" t="s">
        <v>102</v>
      </c>
      <c r="O155" t="s">
        <v>103</v>
      </c>
    </row>
    <row r="156" spans="1:16" x14ac:dyDescent="0.25">
      <c r="A156" s="14"/>
      <c r="B156" s="28"/>
      <c r="C156" s="28"/>
      <c r="D156" t="s">
        <v>100</v>
      </c>
      <c r="E156" t="s">
        <v>50</v>
      </c>
      <c r="F156">
        <v>1</v>
      </c>
      <c r="G156" s="29">
        <v>0.21</v>
      </c>
      <c r="H156" t="s">
        <v>30</v>
      </c>
      <c r="I156" s="30">
        <f>IFERROR(VLOOKUP(H156,CARTON_LOOKUP!$A:$E,3,0),"")</f>
      </c>
      <c r="J156" s="30">
        <f>IFERROR(VLOOKUP(H156,CARTON_LOOKUP!$A:$E,4,0),"")</f>
      </c>
      <c r="K156" s="30">
        <f>IFERROR(VLOOKUP(H156,CARTON_LOOKUP!$A:$E,5,0),"")</f>
      </c>
      <c r="L156" s="31">
        <f>IFERROR(VLOOKUP(H156,CARTON_LOOKUP!$A:$E,2,0),"")</f>
      </c>
      <c r="M156" t="s">
        <v>101</v>
      </c>
      <c r="N156" t="s">
        <v>102</v>
      </c>
      <c r="O156" t="s">
        <v>103</v>
      </c>
    </row>
    <row r="157" spans="1:16" x14ac:dyDescent="0.25">
      <c r="A157" s="14"/>
      <c r="B157" s="28"/>
      <c r="C157" s="28"/>
      <c r="D157" t="s">
        <v>100</v>
      </c>
      <c r="E157" t="s">
        <v>50</v>
      </c>
      <c r="F157">
        <v>1</v>
      </c>
      <c r="G157" s="29">
        <v>0.21</v>
      </c>
      <c r="H157" t="s">
        <v>30</v>
      </c>
      <c r="I157" s="30">
        <f>IFERROR(VLOOKUP(H157,CARTON_LOOKUP!$A:$E,3,0),"")</f>
      </c>
      <c r="J157" s="30">
        <f>IFERROR(VLOOKUP(H157,CARTON_LOOKUP!$A:$E,4,0),"")</f>
      </c>
      <c r="K157" s="30">
        <f>IFERROR(VLOOKUP(H157,CARTON_LOOKUP!$A:$E,5,0),"")</f>
      </c>
      <c r="L157" s="31">
        <f>IFERROR(VLOOKUP(H157,CARTON_LOOKUP!$A:$E,2,0),"")</f>
      </c>
      <c r="M157" t="s">
        <v>101</v>
      </c>
      <c r="N157" t="s">
        <v>102</v>
      </c>
      <c r="O157" t="s">
        <v>103</v>
      </c>
    </row>
    <row r="158" spans="1:16" x14ac:dyDescent="0.25">
      <c r="A158" s="14"/>
      <c r="B158" s="28"/>
      <c r="C158" s="28"/>
      <c r="D158" t="s">
        <v>100</v>
      </c>
      <c r="E158" t="s">
        <v>50</v>
      </c>
      <c r="F158">
        <v>1</v>
      </c>
      <c r="G158" s="29">
        <v>0.21</v>
      </c>
      <c r="H158" t="s">
        <v>30</v>
      </c>
      <c r="I158" s="30">
        <f>IFERROR(VLOOKUP(H158,CARTON_LOOKUP!$A:$E,3,0),"")</f>
      </c>
      <c r="J158" s="30">
        <f>IFERROR(VLOOKUP(H158,CARTON_LOOKUP!$A:$E,4,0),"")</f>
      </c>
      <c r="K158" s="30">
        <f>IFERROR(VLOOKUP(H158,CARTON_LOOKUP!$A:$E,5,0),"")</f>
      </c>
      <c r="L158" s="31">
        <f>IFERROR(VLOOKUP(H158,CARTON_LOOKUP!$A:$E,2,0),"")</f>
      </c>
      <c r="M158" t="s">
        <v>101</v>
      </c>
      <c r="N158" t="s">
        <v>102</v>
      </c>
      <c r="O158" t="s">
        <v>103</v>
      </c>
    </row>
    <row r="159" spans="1:16" x14ac:dyDescent="0.25">
      <c r="A159" s="14"/>
      <c r="B159" s="28"/>
      <c r="C159" s="28"/>
      <c r="D159" t="s">
        <v>100</v>
      </c>
      <c r="E159" t="s">
        <v>50</v>
      </c>
      <c r="F159">
        <v>1</v>
      </c>
      <c r="G159" s="29">
        <v>0.21</v>
      </c>
      <c r="H159" t="s">
        <v>30</v>
      </c>
      <c r="I159" s="30">
        <f>IFERROR(VLOOKUP(H159,CARTON_LOOKUP!$A:$E,3,0),"")</f>
      </c>
      <c r="J159" s="30">
        <f>IFERROR(VLOOKUP(H159,CARTON_LOOKUP!$A:$E,4,0),"")</f>
      </c>
      <c r="K159" s="30">
        <f>IFERROR(VLOOKUP(H159,CARTON_LOOKUP!$A:$E,5,0),"")</f>
      </c>
      <c r="L159" s="31">
        <f>IFERROR(VLOOKUP(H159,CARTON_LOOKUP!$A:$E,2,0),"")</f>
      </c>
      <c r="M159" t="s">
        <v>101</v>
      </c>
      <c r="N159" t="s">
        <v>102</v>
      </c>
      <c r="O159" t="s">
        <v>103</v>
      </c>
    </row>
    <row r="160" spans="1:16" x14ac:dyDescent="0.25">
      <c r="A160" s="14"/>
      <c r="B160" s="28"/>
      <c r="C160" s="28"/>
      <c r="D160" t="s">
        <v>100</v>
      </c>
      <c r="E160" t="s">
        <v>50</v>
      </c>
      <c r="F160">
        <v>1</v>
      </c>
      <c r="G160" s="29">
        <v>0.21</v>
      </c>
      <c r="H160" t="s">
        <v>30</v>
      </c>
      <c r="I160" s="30">
        <f>IFERROR(VLOOKUP(H160,CARTON_LOOKUP!$A:$E,3,0),"")</f>
      </c>
      <c r="J160" s="30">
        <f>IFERROR(VLOOKUP(H160,CARTON_LOOKUP!$A:$E,4,0),"")</f>
      </c>
      <c r="K160" s="30">
        <f>IFERROR(VLOOKUP(H160,CARTON_LOOKUP!$A:$E,5,0),"")</f>
      </c>
      <c r="L160" s="31">
        <f>IFERROR(VLOOKUP(H160,CARTON_LOOKUP!$A:$E,2,0),"")</f>
      </c>
      <c r="M160" t="s">
        <v>101</v>
      </c>
      <c r="N160" t="s">
        <v>102</v>
      </c>
      <c r="O160" t="s">
        <v>103</v>
      </c>
    </row>
    <row r="161" spans="1:16" x14ac:dyDescent="0.25">
      <c r="A161" s="14"/>
      <c r="B161" s="28"/>
      <c r="C161" s="28"/>
      <c r="D161" t="s">
        <v>100</v>
      </c>
      <c r="E161" t="s">
        <v>50</v>
      </c>
      <c r="F161">
        <v>1</v>
      </c>
      <c r="G161" s="29">
        <v>0.21</v>
      </c>
      <c r="H161" t="s">
        <v>30</v>
      </c>
      <c r="I161" s="30">
        <f>IFERROR(VLOOKUP(H161,CARTON_LOOKUP!$A:$E,3,0),"")</f>
      </c>
      <c r="J161" s="30">
        <f>IFERROR(VLOOKUP(H161,CARTON_LOOKUP!$A:$E,4,0),"")</f>
      </c>
      <c r="K161" s="30">
        <f>IFERROR(VLOOKUP(H161,CARTON_LOOKUP!$A:$E,5,0),"")</f>
      </c>
      <c r="L161" s="31">
        <f>IFERROR(VLOOKUP(H161,CARTON_LOOKUP!$A:$E,2,0),"")</f>
      </c>
      <c r="M161" t="s">
        <v>101</v>
      </c>
      <c r="N161" t="s">
        <v>102</v>
      </c>
      <c r="O161" t="s">
        <v>103</v>
      </c>
    </row>
    <row r="162" spans="1:16" x14ac:dyDescent="0.25">
      <c r="A162" s="14"/>
      <c r="B162" s="28"/>
      <c r="C162" s="28"/>
      <c r="D162" t="s">
        <v>100</v>
      </c>
      <c r="E162" t="s">
        <v>50</v>
      </c>
      <c r="F162">
        <v>1</v>
      </c>
      <c r="G162" s="29">
        <v>0.21</v>
      </c>
      <c r="H162" t="s">
        <v>30</v>
      </c>
      <c r="I162" s="30">
        <f>IFERROR(VLOOKUP(H162,CARTON_LOOKUP!$A:$E,3,0),"")</f>
      </c>
      <c r="J162" s="30">
        <f>IFERROR(VLOOKUP(H162,CARTON_LOOKUP!$A:$E,4,0),"")</f>
      </c>
      <c r="K162" s="30">
        <f>IFERROR(VLOOKUP(H162,CARTON_LOOKUP!$A:$E,5,0),"")</f>
      </c>
      <c r="L162" s="31">
        <f>IFERROR(VLOOKUP(H162,CARTON_LOOKUP!$A:$E,2,0),"")</f>
      </c>
      <c r="M162" t="s">
        <v>101</v>
      </c>
      <c r="N162" t="s">
        <v>102</v>
      </c>
      <c r="O162" t="s">
        <v>103</v>
      </c>
    </row>
    <row r="163" spans="1:16" x14ac:dyDescent="0.25">
      <c r="A163" s="14"/>
      <c r="B163" s="28"/>
      <c r="C163" s="28"/>
      <c r="D163" t="s">
        <v>100</v>
      </c>
      <c r="E163" t="s">
        <v>50</v>
      </c>
      <c r="F163">
        <v>1</v>
      </c>
      <c r="G163" s="29">
        <v>0.21</v>
      </c>
      <c r="H163" t="s">
        <v>30</v>
      </c>
      <c r="I163" s="30">
        <f>IFERROR(VLOOKUP(H163,CARTON_LOOKUP!$A:$E,3,0),"")</f>
      </c>
      <c r="J163" s="30">
        <f>IFERROR(VLOOKUP(H163,CARTON_LOOKUP!$A:$E,4,0),"")</f>
      </c>
      <c r="K163" s="30">
        <f>IFERROR(VLOOKUP(H163,CARTON_LOOKUP!$A:$E,5,0),"")</f>
      </c>
      <c r="L163" s="31">
        <f>IFERROR(VLOOKUP(H163,CARTON_LOOKUP!$A:$E,2,0),"")</f>
      </c>
      <c r="M163" t="s">
        <v>101</v>
      </c>
      <c r="N163" t="s">
        <v>102</v>
      </c>
      <c r="O163" t="s">
        <v>103</v>
      </c>
    </row>
    <row r="164" spans="1:16" x14ac:dyDescent="0.25">
      <c r="A164" s="14"/>
      <c r="B164" s="28"/>
      <c r="C164" s="28"/>
      <c r="D164" t="s">
        <v>100</v>
      </c>
      <c r="E164" t="s">
        <v>50</v>
      </c>
      <c r="F164">
        <v>1</v>
      </c>
      <c r="G164" s="29">
        <v>0.21</v>
      </c>
      <c r="H164" t="s">
        <v>30</v>
      </c>
      <c r="I164" s="30">
        <f>IFERROR(VLOOKUP(H164,CARTON_LOOKUP!$A:$E,3,0),"")</f>
      </c>
      <c r="J164" s="30">
        <f>IFERROR(VLOOKUP(H164,CARTON_LOOKUP!$A:$E,4,0),"")</f>
      </c>
      <c r="K164" s="30">
        <f>IFERROR(VLOOKUP(H164,CARTON_LOOKUP!$A:$E,5,0),"")</f>
      </c>
      <c r="L164" s="31">
        <f>IFERROR(VLOOKUP(H164,CARTON_LOOKUP!$A:$E,2,0),"")</f>
      </c>
      <c r="M164" t="s">
        <v>101</v>
      </c>
      <c r="N164" t="s">
        <v>102</v>
      </c>
      <c r="O164" t="s">
        <v>103</v>
      </c>
    </row>
    <row r="165" spans="1:16" x14ac:dyDescent="0.25">
      <c r="A165" s="14"/>
      <c r="B165" s="28"/>
      <c r="C165" s="28"/>
      <c r="D165" t="s">
        <v>100</v>
      </c>
      <c r="E165" t="s">
        <v>50</v>
      </c>
      <c r="F165">
        <v>1</v>
      </c>
      <c r="G165" s="29">
        <v>0.21</v>
      </c>
      <c r="H165" t="s">
        <v>30</v>
      </c>
      <c r="I165" s="30">
        <f>IFERROR(VLOOKUP(H165,CARTON_LOOKUP!$A:$E,3,0),"")</f>
      </c>
      <c r="J165" s="30">
        <f>IFERROR(VLOOKUP(H165,CARTON_LOOKUP!$A:$E,4,0),"")</f>
      </c>
      <c r="K165" s="30">
        <f>IFERROR(VLOOKUP(H165,CARTON_LOOKUP!$A:$E,5,0),"")</f>
      </c>
      <c r="L165" s="31">
        <f>IFERROR(VLOOKUP(H165,CARTON_LOOKUP!$A:$E,2,0),"")</f>
      </c>
      <c r="M165" t="s">
        <v>101</v>
      </c>
      <c r="N165" t="s">
        <v>102</v>
      </c>
      <c r="O165" t="s">
        <v>103</v>
      </c>
    </row>
    <row r="166" spans="1:16" x14ac:dyDescent="0.25">
      <c r="A166" s="14"/>
      <c r="B166" s="28"/>
      <c r="C166" s="28"/>
      <c r="D166" t="s">
        <v>100</v>
      </c>
      <c r="E166" t="s">
        <v>50</v>
      </c>
      <c r="F166">
        <v>1</v>
      </c>
      <c r="G166" s="29">
        <v>0.21</v>
      </c>
      <c r="H166" t="s">
        <v>30</v>
      </c>
      <c r="I166" s="30">
        <f>IFERROR(VLOOKUP(H166,CARTON_LOOKUP!$A:$E,3,0),"")</f>
      </c>
      <c r="J166" s="30">
        <f>IFERROR(VLOOKUP(H166,CARTON_LOOKUP!$A:$E,4,0),"")</f>
      </c>
      <c r="K166" s="30">
        <f>IFERROR(VLOOKUP(H166,CARTON_LOOKUP!$A:$E,5,0),"")</f>
      </c>
      <c r="L166" s="31">
        <f>IFERROR(VLOOKUP(H166,CARTON_LOOKUP!$A:$E,2,0),"")</f>
      </c>
      <c r="M166" t="s">
        <v>101</v>
      </c>
      <c r="N166" t="s">
        <v>102</v>
      </c>
      <c r="O166" t="s">
        <v>103</v>
      </c>
    </row>
    <row r="167" spans="1:16" x14ac:dyDescent="0.25">
      <c r="A167" s="14"/>
      <c r="B167" s="28"/>
      <c r="C167" s="28"/>
      <c r="D167" t="s">
        <v>100</v>
      </c>
      <c r="E167" t="s">
        <v>50</v>
      </c>
      <c r="F167">
        <v>1</v>
      </c>
      <c r="G167" s="29">
        <v>0.21</v>
      </c>
      <c r="H167" t="s">
        <v>30</v>
      </c>
      <c r="I167" s="30">
        <f>IFERROR(VLOOKUP(H167,CARTON_LOOKUP!$A:$E,3,0),"")</f>
      </c>
      <c r="J167" s="30">
        <f>IFERROR(VLOOKUP(H167,CARTON_LOOKUP!$A:$E,4,0),"")</f>
      </c>
      <c r="K167" s="30">
        <f>IFERROR(VLOOKUP(H167,CARTON_LOOKUP!$A:$E,5,0),"")</f>
      </c>
      <c r="L167" s="31">
        <f>IFERROR(VLOOKUP(H167,CARTON_LOOKUP!$A:$E,2,0),"")</f>
      </c>
      <c r="M167" t="s">
        <v>101</v>
      </c>
      <c r="N167" t="s">
        <v>102</v>
      </c>
      <c r="O167" t="s">
        <v>103</v>
      </c>
    </row>
    <row r="168" spans="1:16" x14ac:dyDescent="0.25">
      <c r="A168" s="14"/>
      <c r="B168" s="28"/>
      <c r="C168" s="28"/>
      <c r="D168" t="s">
        <v>100</v>
      </c>
      <c r="E168" t="s">
        <v>50</v>
      </c>
      <c r="F168">
        <v>1</v>
      </c>
      <c r="G168" s="29">
        <v>0.21</v>
      </c>
      <c r="H168" t="s">
        <v>30</v>
      </c>
      <c r="I168" s="30">
        <f>IFERROR(VLOOKUP(H168,CARTON_LOOKUP!$A:$E,3,0),"")</f>
      </c>
      <c r="J168" s="30">
        <f>IFERROR(VLOOKUP(H168,CARTON_LOOKUP!$A:$E,4,0),"")</f>
      </c>
      <c r="K168" s="30">
        <f>IFERROR(VLOOKUP(H168,CARTON_LOOKUP!$A:$E,5,0),"")</f>
      </c>
      <c r="L168" s="31">
        <f>IFERROR(VLOOKUP(H168,CARTON_LOOKUP!$A:$E,2,0),"")</f>
      </c>
      <c r="M168" t="s">
        <v>101</v>
      </c>
      <c r="N168" t="s">
        <v>102</v>
      </c>
      <c r="O168" t="s">
        <v>103</v>
      </c>
    </row>
    <row r="169" spans="1:16" x14ac:dyDescent="0.25">
      <c r="A169" s="14"/>
      <c r="B169" s="28"/>
      <c r="C169" s="28"/>
      <c r="D169" t="s">
        <v>100</v>
      </c>
      <c r="E169" t="s">
        <v>50</v>
      </c>
      <c r="F169">
        <v>1</v>
      </c>
      <c r="G169" s="29">
        <v>0.21</v>
      </c>
      <c r="H169" t="s">
        <v>30</v>
      </c>
      <c r="I169" s="30">
        <f>IFERROR(VLOOKUP(H169,CARTON_LOOKUP!$A:$E,3,0),"")</f>
      </c>
      <c r="J169" s="30">
        <f>IFERROR(VLOOKUP(H169,CARTON_LOOKUP!$A:$E,4,0),"")</f>
      </c>
      <c r="K169" s="30">
        <f>IFERROR(VLOOKUP(H169,CARTON_LOOKUP!$A:$E,5,0),"")</f>
      </c>
      <c r="L169" s="31">
        <f>IFERROR(VLOOKUP(H169,CARTON_LOOKUP!$A:$E,2,0),"")</f>
      </c>
      <c r="M169" t="s">
        <v>101</v>
      </c>
      <c r="N169" t="s">
        <v>102</v>
      </c>
      <c r="O169" t="s">
        <v>103</v>
      </c>
    </row>
    <row r="170" spans="1:16" x14ac:dyDescent="0.25">
      <c r="A170" s="14"/>
      <c r="B170" s="28"/>
      <c r="C170" s="28"/>
      <c r="D170" t="s">
        <v>100</v>
      </c>
      <c r="E170" t="s">
        <v>50</v>
      </c>
      <c r="F170">
        <v>1</v>
      </c>
      <c r="G170" s="29">
        <v>0.21</v>
      </c>
      <c r="H170" t="s">
        <v>30</v>
      </c>
      <c r="I170" s="30">
        <f>IFERROR(VLOOKUP(H170,CARTON_LOOKUP!$A:$E,3,0),"")</f>
      </c>
      <c r="J170" s="30">
        <f>IFERROR(VLOOKUP(H170,CARTON_LOOKUP!$A:$E,4,0),"")</f>
      </c>
      <c r="K170" s="30">
        <f>IFERROR(VLOOKUP(H170,CARTON_LOOKUP!$A:$E,5,0),"")</f>
      </c>
      <c r="L170" s="31">
        <f>IFERROR(VLOOKUP(H170,CARTON_LOOKUP!$A:$E,2,0),"")</f>
      </c>
      <c r="M170" t="s">
        <v>101</v>
      </c>
      <c r="N170" t="s">
        <v>102</v>
      </c>
      <c r="O170" t="s">
        <v>103</v>
      </c>
    </row>
    <row r="171" spans="1:16" x14ac:dyDescent="0.25">
      <c r="A171" s="14"/>
      <c r="B171" s="28"/>
      <c r="C171" s="28"/>
      <c r="D171" t="s">
        <v>100</v>
      </c>
      <c r="E171" t="s">
        <v>50</v>
      </c>
      <c r="F171">
        <v>1</v>
      </c>
      <c r="G171" s="29">
        <v>0.21</v>
      </c>
      <c r="H171" t="s">
        <v>30</v>
      </c>
      <c r="I171" s="30">
        <f>IFERROR(VLOOKUP(H171,CARTON_LOOKUP!$A:$E,3,0),"")</f>
      </c>
      <c r="J171" s="30">
        <f>IFERROR(VLOOKUP(H171,CARTON_LOOKUP!$A:$E,4,0),"")</f>
      </c>
      <c r="K171" s="30">
        <f>IFERROR(VLOOKUP(H171,CARTON_LOOKUP!$A:$E,5,0),"")</f>
      </c>
      <c r="L171" s="31">
        <f>IFERROR(VLOOKUP(H171,CARTON_LOOKUP!$A:$E,2,0),"")</f>
      </c>
      <c r="M171" t="s">
        <v>101</v>
      </c>
      <c r="N171" t="s">
        <v>102</v>
      </c>
      <c r="O171" t="s">
        <v>103</v>
      </c>
    </row>
    <row r="172" spans="1:16" x14ac:dyDescent="0.25">
      <c r="A172" s="14"/>
      <c r="B172" s="28"/>
      <c r="C172" s="28"/>
      <c r="D172" t="s">
        <v>100</v>
      </c>
      <c r="E172" t="s">
        <v>50</v>
      </c>
      <c r="F172">
        <v>1</v>
      </c>
      <c r="G172" s="29">
        <v>0.21</v>
      </c>
      <c r="H172" t="s">
        <v>30</v>
      </c>
      <c r="I172" s="30">
        <f>IFERROR(VLOOKUP(H172,CARTON_LOOKUP!$A:$E,3,0),"")</f>
      </c>
      <c r="J172" s="30">
        <f>IFERROR(VLOOKUP(H172,CARTON_LOOKUP!$A:$E,4,0),"")</f>
      </c>
      <c r="K172" s="30">
        <f>IFERROR(VLOOKUP(H172,CARTON_LOOKUP!$A:$E,5,0),"")</f>
      </c>
      <c r="L172" s="31">
        <f>IFERROR(VLOOKUP(H172,CARTON_LOOKUP!$A:$E,2,0),"")</f>
      </c>
      <c r="M172" t="s">
        <v>101</v>
      </c>
      <c r="N172" t="s">
        <v>102</v>
      </c>
      <c r="O172" t="s">
        <v>103</v>
      </c>
    </row>
    <row r="173" spans="1:16" x14ac:dyDescent="0.25">
      <c r="A173" s="14"/>
      <c r="B173" s="28"/>
      <c r="C173" s="28"/>
      <c r="D173" t="s">
        <v>100</v>
      </c>
      <c r="E173" t="s">
        <v>50</v>
      </c>
      <c r="F173">
        <v>1</v>
      </c>
      <c r="G173" s="29">
        <v>0.21</v>
      </c>
      <c r="H173" t="s">
        <v>30</v>
      </c>
      <c r="I173" s="30">
        <f>IFERROR(VLOOKUP(H173,CARTON_LOOKUP!$A:$E,3,0),"")</f>
      </c>
      <c r="J173" s="30">
        <f>IFERROR(VLOOKUP(H173,CARTON_LOOKUP!$A:$E,4,0),"")</f>
      </c>
      <c r="K173" s="30">
        <f>IFERROR(VLOOKUP(H173,CARTON_LOOKUP!$A:$E,5,0),"")</f>
      </c>
      <c r="L173" s="31">
        <f>IFERROR(VLOOKUP(H173,CARTON_LOOKUP!$A:$E,2,0),"")</f>
      </c>
      <c r="M173" t="s">
        <v>101</v>
      </c>
      <c r="N173" t="s">
        <v>102</v>
      </c>
      <c r="O173" t="s">
        <v>103</v>
      </c>
    </row>
    <row r="174" spans="1:16" x14ac:dyDescent="0.25">
      <c r="A174" s="14"/>
      <c r="B174" s="28"/>
      <c r="C174" s="28"/>
      <c r="D174" t="s">
        <v>100</v>
      </c>
      <c r="E174" t="s">
        <v>50</v>
      </c>
      <c r="F174">
        <v>1</v>
      </c>
      <c r="G174" s="29">
        <v>0.21</v>
      </c>
      <c r="H174" t="s">
        <v>30</v>
      </c>
      <c r="I174" s="30">
        <f>IFERROR(VLOOKUP(H174,CARTON_LOOKUP!$A:$E,3,0),"")</f>
      </c>
      <c r="J174" s="30">
        <f>IFERROR(VLOOKUP(H174,CARTON_LOOKUP!$A:$E,4,0),"")</f>
      </c>
      <c r="K174" s="30">
        <f>IFERROR(VLOOKUP(H174,CARTON_LOOKUP!$A:$E,5,0),"")</f>
      </c>
      <c r="L174" s="31">
        <f>IFERROR(VLOOKUP(H174,CARTON_LOOKUP!$A:$E,2,0),"")</f>
      </c>
      <c r="M174" t="s">
        <v>101</v>
      </c>
      <c r="N174" t="s">
        <v>102</v>
      </c>
      <c r="O174" t="s">
        <v>103</v>
      </c>
    </row>
    <row r="175" spans="1:16" x14ac:dyDescent="0.25">
      <c r="A175" s="14"/>
      <c r="B175" s="28"/>
      <c r="C175" s="28"/>
      <c r="D175" t="s">
        <v>100</v>
      </c>
      <c r="E175" t="s">
        <v>50</v>
      </c>
      <c r="F175">
        <v>1</v>
      </c>
      <c r="G175" s="29">
        <v>0.21</v>
      </c>
      <c r="H175" t="s">
        <v>30</v>
      </c>
      <c r="I175" s="30">
        <f>IFERROR(VLOOKUP(H175,CARTON_LOOKUP!$A:$E,3,0),"")</f>
      </c>
      <c r="J175" s="30">
        <f>IFERROR(VLOOKUP(H175,CARTON_LOOKUP!$A:$E,4,0),"")</f>
      </c>
      <c r="K175" s="30">
        <f>IFERROR(VLOOKUP(H175,CARTON_LOOKUP!$A:$E,5,0),"")</f>
      </c>
      <c r="L175" s="31">
        <f>IFERROR(VLOOKUP(H175,CARTON_LOOKUP!$A:$E,2,0),"")</f>
      </c>
      <c r="M175" t="s">
        <v>101</v>
      </c>
      <c r="N175" t="s">
        <v>102</v>
      </c>
      <c r="O175" t="s">
        <v>103</v>
      </c>
    </row>
    <row r="176" spans="1:16" x14ac:dyDescent="0.25">
      <c r="A176" s="14"/>
      <c r="B176" s="28"/>
      <c r="C176" s="28"/>
      <c r="D176" t="s">
        <v>100</v>
      </c>
      <c r="E176" t="s">
        <v>50</v>
      </c>
      <c r="F176">
        <v>1</v>
      </c>
      <c r="G176" s="29">
        <v>0.21</v>
      </c>
      <c r="H176" t="s">
        <v>30</v>
      </c>
      <c r="I176" s="30">
        <f>IFERROR(VLOOKUP(H176,CARTON_LOOKUP!$A:$E,3,0),"")</f>
      </c>
      <c r="J176" s="30">
        <f>IFERROR(VLOOKUP(H176,CARTON_LOOKUP!$A:$E,4,0),"")</f>
      </c>
      <c r="K176" s="30">
        <f>IFERROR(VLOOKUP(H176,CARTON_LOOKUP!$A:$E,5,0),"")</f>
      </c>
      <c r="L176" s="31">
        <f>IFERROR(VLOOKUP(H176,CARTON_LOOKUP!$A:$E,2,0),"")</f>
      </c>
      <c r="M176" t="s">
        <v>101</v>
      </c>
      <c r="N176" t="s">
        <v>102</v>
      </c>
      <c r="O176" t="s">
        <v>103</v>
      </c>
    </row>
    <row r="177" spans="1:16" x14ac:dyDescent="0.25">
      <c r="A177" s="14"/>
      <c r="B177" s="28"/>
      <c r="C177" s="28"/>
      <c r="D177" t="s">
        <v>100</v>
      </c>
      <c r="E177" t="s">
        <v>50</v>
      </c>
      <c r="F177">
        <v>1</v>
      </c>
      <c r="G177" s="29">
        <v>0.21</v>
      </c>
      <c r="H177" t="s">
        <v>30</v>
      </c>
      <c r="I177" s="30">
        <f>IFERROR(VLOOKUP(H177,CARTON_LOOKUP!$A:$E,3,0),"")</f>
      </c>
      <c r="J177" s="30">
        <f>IFERROR(VLOOKUP(H177,CARTON_LOOKUP!$A:$E,4,0),"")</f>
      </c>
      <c r="K177" s="30">
        <f>IFERROR(VLOOKUP(H177,CARTON_LOOKUP!$A:$E,5,0),"")</f>
      </c>
      <c r="L177" s="31">
        <f>IFERROR(VLOOKUP(H177,CARTON_LOOKUP!$A:$E,2,0),"")</f>
      </c>
      <c r="M177" t="s">
        <v>101</v>
      </c>
      <c r="N177" t="s">
        <v>102</v>
      </c>
      <c r="O177" t="s">
        <v>103</v>
      </c>
    </row>
    <row r="178" spans="1:16" x14ac:dyDescent="0.25">
      <c r="A178" s="14"/>
      <c r="B178" s="28"/>
      <c r="C178" s="28"/>
      <c r="D178" t="s">
        <v>100</v>
      </c>
      <c r="E178" t="s">
        <v>50</v>
      </c>
      <c r="F178">
        <v>1</v>
      </c>
      <c r="G178" s="29">
        <v>0.21</v>
      </c>
      <c r="H178" t="s">
        <v>30</v>
      </c>
      <c r="I178" s="30">
        <f>IFERROR(VLOOKUP(H178,CARTON_LOOKUP!$A:$E,3,0),"")</f>
      </c>
      <c r="J178" s="30">
        <f>IFERROR(VLOOKUP(H178,CARTON_LOOKUP!$A:$E,4,0),"")</f>
      </c>
      <c r="K178" s="30">
        <f>IFERROR(VLOOKUP(H178,CARTON_LOOKUP!$A:$E,5,0),"")</f>
      </c>
      <c r="L178" s="31">
        <f>IFERROR(VLOOKUP(H178,CARTON_LOOKUP!$A:$E,2,0),"")</f>
      </c>
      <c r="M178" t="s">
        <v>101</v>
      </c>
      <c r="N178" t="s">
        <v>102</v>
      </c>
      <c r="O178" t="s">
        <v>103</v>
      </c>
    </row>
    <row r="179" spans="1:16" x14ac:dyDescent="0.25">
      <c r="A179" s="14"/>
      <c r="B179" s="28"/>
      <c r="C179" s="28"/>
      <c r="D179" t="s">
        <v>100</v>
      </c>
      <c r="E179" t="s">
        <v>50</v>
      </c>
      <c r="F179">
        <v>1</v>
      </c>
      <c r="G179" s="29">
        <v>0.21</v>
      </c>
      <c r="H179" t="s">
        <v>30</v>
      </c>
      <c r="I179" s="30">
        <f>IFERROR(VLOOKUP(H179,CARTON_LOOKUP!$A:$E,3,0),"")</f>
      </c>
      <c r="J179" s="30">
        <f>IFERROR(VLOOKUP(H179,CARTON_LOOKUP!$A:$E,4,0),"")</f>
      </c>
      <c r="K179" s="30">
        <f>IFERROR(VLOOKUP(H179,CARTON_LOOKUP!$A:$E,5,0),"")</f>
      </c>
      <c r="L179" s="31">
        <f>IFERROR(VLOOKUP(H179,CARTON_LOOKUP!$A:$E,2,0),"")</f>
      </c>
      <c r="M179" t="s">
        <v>101</v>
      </c>
      <c r="N179" t="s">
        <v>102</v>
      </c>
      <c r="O179" t="s">
        <v>103</v>
      </c>
    </row>
    <row r="180" spans="1:16" x14ac:dyDescent="0.25">
      <c r="A180" s="14"/>
      <c r="B180" s="28"/>
      <c r="C180" s="28"/>
      <c r="D180" t="s">
        <v>100</v>
      </c>
      <c r="E180" t="s">
        <v>50</v>
      </c>
      <c r="F180">
        <v>1</v>
      </c>
      <c r="G180" s="29">
        <v>0.21</v>
      </c>
      <c r="H180" t="s">
        <v>30</v>
      </c>
      <c r="I180" s="30">
        <f>IFERROR(VLOOKUP(H180,CARTON_LOOKUP!$A:$E,3,0),"")</f>
      </c>
      <c r="J180" s="30">
        <f>IFERROR(VLOOKUP(H180,CARTON_LOOKUP!$A:$E,4,0),"")</f>
      </c>
      <c r="K180" s="30">
        <f>IFERROR(VLOOKUP(H180,CARTON_LOOKUP!$A:$E,5,0),"")</f>
      </c>
      <c r="L180" s="31">
        <f>IFERROR(VLOOKUP(H180,CARTON_LOOKUP!$A:$E,2,0),"")</f>
      </c>
      <c r="M180" t="s">
        <v>101</v>
      </c>
      <c r="N180" t="s">
        <v>102</v>
      </c>
      <c r="O180" t="s">
        <v>103</v>
      </c>
    </row>
    <row r="181" spans="1:16" x14ac:dyDescent="0.25">
      <c r="A181" s="14"/>
      <c r="B181" s="28"/>
      <c r="C181" s="28"/>
      <c r="D181" t="s">
        <v>100</v>
      </c>
      <c r="E181" t="s">
        <v>50</v>
      </c>
      <c r="F181">
        <v>1</v>
      </c>
      <c r="G181" s="29">
        <v>0.21</v>
      </c>
      <c r="H181" t="s">
        <v>30</v>
      </c>
      <c r="I181" s="30">
        <f>IFERROR(VLOOKUP(H181,CARTON_LOOKUP!$A:$E,3,0),"")</f>
      </c>
      <c r="J181" s="30">
        <f>IFERROR(VLOOKUP(H181,CARTON_LOOKUP!$A:$E,4,0),"")</f>
      </c>
      <c r="K181" s="30">
        <f>IFERROR(VLOOKUP(H181,CARTON_LOOKUP!$A:$E,5,0),"")</f>
      </c>
      <c r="L181" s="31">
        <f>IFERROR(VLOOKUP(H181,CARTON_LOOKUP!$A:$E,2,0),"")</f>
      </c>
      <c r="M181" t="s">
        <v>101</v>
      </c>
      <c r="N181" t="s">
        <v>102</v>
      </c>
      <c r="O181" t="s">
        <v>103</v>
      </c>
    </row>
    <row r="182" spans="1:16" x14ac:dyDescent="0.25">
      <c r="A182" s="14"/>
      <c r="B182" s="28"/>
      <c r="C182" s="28"/>
      <c r="D182" t="s">
        <v>100</v>
      </c>
      <c r="E182" t="s">
        <v>50</v>
      </c>
      <c r="F182">
        <v>1</v>
      </c>
      <c r="G182" s="29">
        <v>0.21</v>
      </c>
      <c r="H182" t="s">
        <v>30</v>
      </c>
      <c r="I182" s="30">
        <f>IFERROR(VLOOKUP(H182,CARTON_LOOKUP!$A:$E,3,0),"")</f>
      </c>
      <c r="J182" s="30">
        <f>IFERROR(VLOOKUP(H182,CARTON_LOOKUP!$A:$E,4,0),"")</f>
      </c>
      <c r="K182" s="30">
        <f>IFERROR(VLOOKUP(H182,CARTON_LOOKUP!$A:$E,5,0),"")</f>
      </c>
      <c r="L182" s="31">
        <f>IFERROR(VLOOKUP(H182,CARTON_LOOKUP!$A:$E,2,0),"")</f>
      </c>
      <c r="M182" t="s">
        <v>101</v>
      </c>
      <c r="N182" t="s">
        <v>102</v>
      </c>
      <c r="O182" t="s">
        <v>103</v>
      </c>
    </row>
    <row r="183" spans="1:16" x14ac:dyDescent="0.25">
      <c r="A183" s="14"/>
      <c r="B183" s="28"/>
      <c r="C183" s="28"/>
      <c r="D183" t="s">
        <v>100</v>
      </c>
      <c r="E183" t="s">
        <v>50</v>
      </c>
      <c r="F183">
        <v>1</v>
      </c>
      <c r="G183" s="29">
        <v>0.21</v>
      </c>
      <c r="H183" t="s">
        <v>30</v>
      </c>
      <c r="I183" s="30">
        <f>IFERROR(VLOOKUP(H183,CARTON_LOOKUP!$A:$E,3,0),"")</f>
      </c>
      <c r="J183" s="30">
        <f>IFERROR(VLOOKUP(H183,CARTON_LOOKUP!$A:$E,4,0),"")</f>
      </c>
      <c r="K183" s="30">
        <f>IFERROR(VLOOKUP(H183,CARTON_LOOKUP!$A:$E,5,0),"")</f>
      </c>
      <c r="L183" s="31">
        <f>IFERROR(VLOOKUP(H183,CARTON_LOOKUP!$A:$E,2,0),"")</f>
      </c>
      <c r="M183" t="s">
        <v>101</v>
      </c>
      <c r="N183" t="s">
        <v>102</v>
      </c>
      <c r="O183" t="s">
        <v>103</v>
      </c>
    </row>
    <row r="184" spans="1:16" x14ac:dyDescent="0.25">
      <c r="A184" s="14"/>
      <c r="B184" s="28"/>
      <c r="C184" s="28"/>
      <c r="D184" t="s">
        <v>100</v>
      </c>
      <c r="E184" t="s">
        <v>50</v>
      </c>
      <c r="F184">
        <v>1</v>
      </c>
      <c r="G184" s="29">
        <v>0.21</v>
      </c>
      <c r="H184" t="s">
        <v>30</v>
      </c>
      <c r="I184" s="30">
        <f>IFERROR(VLOOKUP(H184,CARTON_LOOKUP!$A:$E,3,0),"")</f>
      </c>
      <c r="J184" s="30">
        <f>IFERROR(VLOOKUP(H184,CARTON_LOOKUP!$A:$E,4,0),"")</f>
      </c>
      <c r="K184" s="30">
        <f>IFERROR(VLOOKUP(H184,CARTON_LOOKUP!$A:$E,5,0),"")</f>
      </c>
      <c r="L184" s="31">
        <f>IFERROR(VLOOKUP(H184,CARTON_LOOKUP!$A:$E,2,0),"")</f>
      </c>
      <c r="M184" t="s">
        <v>101</v>
      </c>
      <c r="N184" t="s">
        <v>102</v>
      </c>
      <c r="O184" t="s">
        <v>103</v>
      </c>
    </row>
    <row r="185" spans="1:16" x14ac:dyDescent="0.25">
      <c r="A185" s="14"/>
      <c r="B185" s="28"/>
      <c r="C185" s="28"/>
      <c r="D185" t="s">
        <v>100</v>
      </c>
      <c r="E185" t="s">
        <v>50</v>
      </c>
      <c r="F185">
        <v>1</v>
      </c>
      <c r="G185" s="29">
        <v>0.21</v>
      </c>
      <c r="H185" t="s">
        <v>30</v>
      </c>
      <c r="I185" s="30">
        <f>IFERROR(VLOOKUP(H185,CARTON_LOOKUP!$A:$E,3,0),"")</f>
      </c>
      <c r="J185" s="30">
        <f>IFERROR(VLOOKUP(H185,CARTON_LOOKUP!$A:$E,4,0),"")</f>
      </c>
      <c r="K185" s="30">
        <f>IFERROR(VLOOKUP(H185,CARTON_LOOKUP!$A:$E,5,0),"")</f>
      </c>
      <c r="L185" s="31">
        <f>IFERROR(VLOOKUP(H185,CARTON_LOOKUP!$A:$E,2,0),"")</f>
      </c>
      <c r="M185" t="s">
        <v>101</v>
      </c>
      <c r="N185" t="s">
        <v>102</v>
      </c>
      <c r="O185" t="s">
        <v>103</v>
      </c>
    </row>
    <row r="186" spans="1:16" x14ac:dyDescent="0.25">
      <c r="A186" s="14"/>
      <c r="B186" s="28"/>
      <c r="C186" s="28"/>
      <c r="D186" t="s">
        <v>100</v>
      </c>
      <c r="E186" t="s">
        <v>50</v>
      </c>
      <c r="F186">
        <v>1</v>
      </c>
      <c r="G186" s="29">
        <v>0.21</v>
      </c>
      <c r="H186" t="s">
        <v>30</v>
      </c>
      <c r="I186" s="30">
        <f>IFERROR(VLOOKUP(H186,CARTON_LOOKUP!$A:$E,3,0),"")</f>
      </c>
      <c r="J186" s="30">
        <f>IFERROR(VLOOKUP(H186,CARTON_LOOKUP!$A:$E,4,0),"")</f>
      </c>
      <c r="K186" s="30">
        <f>IFERROR(VLOOKUP(H186,CARTON_LOOKUP!$A:$E,5,0),"")</f>
      </c>
      <c r="L186" s="31">
        <f>IFERROR(VLOOKUP(H186,CARTON_LOOKUP!$A:$E,2,0),"")</f>
      </c>
      <c r="M186" t="s">
        <v>101</v>
      </c>
      <c r="N186" t="s">
        <v>102</v>
      </c>
      <c r="O186" t="s">
        <v>103</v>
      </c>
    </row>
    <row r="187" spans="1:16" x14ac:dyDescent="0.25">
      <c r="A187" s="14"/>
      <c r="B187" s="28"/>
      <c r="C187" s="28"/>
      <c r="D187" t="s">
        <v>100</v>
      </c>
      <c r="E187" t="s">
        <v>50</v>
      </c>
      <c r="F187">
        <v>1</v>
      </c>
      <c r="G187" s="29">
        <v>0.21</v>
      </c>
      <c r="H187" t="s">
        <v>30</v>
      </c>
      <c r="I187" s="30">
        <f>IFERROR(VLOOKUP(H187,CARTON_LOOKUP!$A:$E,3,0),"")</f>
      </c>
      <c r="J187" s="30">
        <f>IFERROR(VLOOKUP(H187,CARTON_LOOKUP!$A:$E,4,0),"")</f>
      </c>
      <c r="K187" s="30">
        <f>IFERROR(VLOOKUP(H187,CARTON_LOOKUP!$A:$E,5,0),"")</f>
      </c>
      <c r="L187" s="31">
        <f>IFERROR(VLOOKUP(H187,CARTON_LOOKUP!$A:$E,2,0),"")</f>
      </c>
      <c r="M187" t="s">
        <v>101</v>
      </c>
      <c r="N187" t="s">
        <v>102</v>
      </c>
      <c r="O187" t="s">
        <v>103</v>
      </c>
    </row>
    <row r="188" spans="1:16" x14ac:dyDescent="0.25">
      <c r="A188" s="14"/>
      <c r="B188" s="28"/>
      <c r="C188" s="28"/>
      <c r="D188" t="s">
        <v>100</v>
      </c>
      <c r="E188" t="s">
        <v>50</v>
      </c>
      <c r="F188">
        <v>1</v>
      </c>
      <c r="G188" s="29">
        <v>0.21</v>
      </c>
      <c r="H188" t="s">
        <v>30</v>
      </c>
      <c r="I188" s="30">
        <f>IFERROR(VLOOKUP(H188,CARTON_LOOKUP!$A:$E,3,0),"")</f>
      </c>
      <c r="J188" s="30">
        <f>IFERROR(VLOOKUP(H188,CARTON_LOOKUP!$A:$E,4,0),"")</f>
      </c>
      <c r="K188" s="30">
        <f>IFERROR(VLOOKUP(H188,CARTON_LOOKUP!$A:$E,5,0),"")</f>
      </c>
      <c r="L188" s="31">
        <f>IFERROR(VLOOKUP(H188,CARTON_LOOKUP!$A:$E,2,0),"")</f>
      </c>
      <c r="M188" t="s">
        <v>101</v>
      </c>
      <c r="N188" t="s">
        <v>102</v>
      </c>
      <c r="O188" t="s">
        <v>103</v>
      </c>
    </row>
    <row r="189" spans="1:16" x14ac:dyDescent="0.25">
      <c r="A189" s="14"/>
      <c r="B189" s="28"/>
      <c r="C189" s="28"/>
      <c r="D189" t="s">
        <v>100</v>
      </c>
      <c r="E189" t="s">
        <v>50</v>
      </c>
      <c r="F189">
        <v>1</v>
      </c>
      <c r="G189" s="29">
        <v>0.21</v>
      </c>
      <c r="H189" t="s">
        <v>30</v>
      </c>
      <c r="I189" s="30">
        <f>IFERROR(VLOOKUP(H189,CARTON_LOOKUP!$A:$E,3,0),"")</f>
      </c>
      <c r="J189" s="30">
        <f>IFERROR(VLOOKUP(H189,CARTON_LOOKUP!$A:$E,4,0),"")</f>
      </c>
      <c r="K189" s="30">
        <f>IFERROR(VLOOKUP(H189,CARTON_LOOKUP!$A:$E,5,0),"")</f>
      </c>
      <c r="L189" s="31">
        <f>IFERROR(VLOOKUP(H189,CARTON_LOOKUP!$A:$E,2,0),"")</f>
      </c>
      <c r="M189" t="s">
        <v>101</v>
      </c>
      <c r="N189" t="s">
        <v>102</v>
      </c>
      <c r="O189" t="s">
        <v>103</v>
      </c>
    </row>
    <row r="190" spans="1:16" x14ac:dyDescent="0.25">
      <c r="A190" s="14"/>
      <c r="B190" s="28"/>
      <c r="C190" s="28"/>
      <c r="D190" t="s">
        <v>100</v>
      </c>
      <c r="E190" t="s">
        <v>50</v>
      </c>
      <c r="F190">
        <v>1</v>
      </c>
      <c r="G190" s="29">
        <v>0.21</v>
      </c>
      <c r="H190" t="s">
        <v>30</v>
      </c>
      <c r="I190" s="30">
        <f>IFERROR(VLOOKUP(H190,CARTON_LOOKUP!$A:$E,3,0),"")</f>
      </c>
      <c r="J190" s="30">
        <f>IFERROR(VLOOKUP(H190,CARTON_LOOKUP!$A:$E,4,0),"")</f>
      </c>
      <c r="K190" s="30">
        <f>IFERROR(VLOOKUP(H190,CARTON_LOOKUP!$A:$E,5,0),"")</f>
      </c>
      <c r="L190" s="31">
        <f>IFERROR(VLOOKUP(H190,CARTON_LOOKUP!$A:$E,2,0),"")</f>
      </c>
      <c r="M190" t="s">
        <v>101</v>
      </c>
      <c r="N190" t="s">
        <v>102</v>
      </c>
      <c r="O190" t="s">
        <v>103</v>
      </c>
    </row>
    <row r="191" spans="1:16" x14ac:dyDescent="0.25">
      <c r="A191" s="14"/>
      <c r="B191" s="28"/>
      <c r="C191" s="28"/>
      <c r="D191" t="s">
        <v>100</v>
      </c>
      <c r="E191" t="s">
        <v>50</v>
      </c>
      <c r="F191">
        <v>1</v>
      </c>
      <c r="G191" s="29">
        <v>0.21</v>
      </c>
      <c r="H191" t="s">
        <v>30</v>
      </c>
      <c r="I191" s="30">
        <f>IFERROR(VLOOKUP(H191,CARTON_LOOKUP!$A:$E,3,0),"")</f>
      </c>
      <c r="J191" s="30">
        <f>IFERROR(VLOOKUP(H191,CARTON_LOOKUP!$A:$E,4,0),"")</f>
      </c>
      <c r="K191" s="30">
        <f>IFERROR(VLOOKUP(H191,CARTON_LOOKUP!$A:$E,5,0),"")</f>
      </c>
      <c r="L191" s="31">
        <f>IFERROR(VLOOKUP(H191,CARTON_LOOKUP!$A:$E,2,0),"")</f>
      </c>
      <c r="M191" t="s">
        <v>101</v>
      </c>
      <c r="N191" t="s">
        <v>102</v>
      </c>
      <c r="O191" t="s">
        <v>103</v>
      </c>
    </row>
    <row r="192" spans="1:16" x14ac:dyDescent="0.25">
      <c r="A192" s="14"/>
      <c r="B192" s="28"/>
      <c r="C192" s="28"/>
      <c r="D192" t="s">
        <v>100</v>
      </c>
      <c r="E192" t="s">
        <v>50</v>
      </c>
      <c r="F192">
        <v>1</v>
      </c>
      <c r="G192" s="29">
        <v>0.21</v>
      </c>
      <c r="H192" t="s">
        <v>30</v>
      </c>
      <c r="I192" s="30">
        <f>IFERROR(VLOOKUP(H192,CARTON_LOOKUP!$A:$E,3,0),"")</f>
      </c>
      <c r="J192" s="30">
        <f>IFERROR(VLOOKUP(H192,CARTON_LOOKUP!$A:$E,4,0),"")</f>
      </c>
      <c r="K192" s="30">
        <f>IFERROR(VLOOKUP(H192,CARTON_LOOKUP!$A:$E,5,0),"")</f>
      </c>
      <c r="L192" s="31">
        <f>IFERROR(VLOOKUP(H192,CARTON_LOOKUP!$A:$E,2,0),"")</f>
      </c>
      <c r="M192" t="s">
        <v>101</v>
      </c>
      <c r="N192" t="s">
        <v>102</v>
      </c>
      <c r="O192" t="s">
        <v>103</v>
      </c>
    </row>
    <row r="193" spans="1:16" x14ac:dyDescent="0.25">
      <c r="A193" s="14"/>
      <c r="B193" s="28"/>
      <c r="C193" s="28"/>
      <c r="D193" t="s">
        <v>100</v>
      </c>
      <c r="E193" t="s">
        <v>50</v>
      </c>
      <c r="F193">
        <v>1</v>
      </c>
      <c r="G193" s="29">
        <v>0.21</v>
      </c>
      <c r="H193" t="s">
        <v>30</v>
      </c>
      <c r="I193" s="30">
        <f>IFERROR(VLOOKUP(H193,CARTON_LOOKUP!$A:$E,3,0),"")</f>
      </c>
      <c r="J193" s="30">
        <f>IFERROR(VLOOKUP(H193,CARTON_LOOKUP!$A:$E,4,0),"")</f>
      </c>
      <c r="K193" s="30">
        <f>IFERROR(VLOOKUP(H193,CARTON_LOOKUP!$A:$E,5,0),"")</f>
      </c>
      <c r="L193" s="31">
        <f>IFERROR(VLOOKUP(H193,CARTON_LOOKUP!$A:$E,2,0),"")</f>
      </c>
      <c r="M193" t="s">
        <v>101</v>
      </c>
      <c r="N193" t="s">
        <v>102</v>
      </c>
      <c r="O193" t="s">
        <v>103</v>
      </c>
    </row>
    <row r="194" spans="1:16" x14ac:dyDescent="0.25">
      <c r="A194" s="14"/>
      <c r="B194" s="28"/>
      <c r="C194" s="28"/>
      <c r="D194" t="s">
        <v>100</v>
      </c>
      <c r="E194" t="s">
        <v>50</v>
      </c>
      <c r="F194">
        <v>1</v>
      </c>
      <c r="G194" s="29">
        <v>0.21</v>
      </c>
      <c r="H194" t="s">
        <v>30</v>
      </c>
      <c r="I194" s="30">
        <f>IFERROR(VLOOKUP(H194,CARTON_LOOKUP!$A:$E,3,0),"")</f>
      </c>
      <c r="J194" s="30">
        <f>IFERROR(VLOOKUP(H194,CARTON_LOOKUP!$A:$E,4,0),"")</f>
      </c>
      <c r="K194" s="30">
        <f>IFERROR(VLOOKUP(H194,CARTON_LOOKUP!$A:$E,5,0),"")</f>
      </c>
      <c r="L194" s="31">
        <f>IFERROR(VLOOKUP(H194,CARTON_LOOKUP!$A:$E,2,0),"")</f>
      </c>
      <c r="M194" t="s">
        <v>101</v>
      </c>
      <c r="N194" t="s">
        <v>102</v>
      </c>
      <c r="O194" t="s">
        <v>103</v>
      </c>
    </row>
    <row r="195" spans="1:16" x14ac:dyDescent="0.25">
      <c r="A195" s="14"/>
      <c r="B195" s="28"/>
      <c r="C195" s="28"/>
      <c r="D195" t="s">
        <v>100</v>
      </c>
      <c r="E195" t="s">
        <v>50</v>
      </c>
      <c r="F195">
        <v>1</v>
      </c>
      <c r="G195" s="29">
        <v>0.21</v>
      </c>
      <c r="H195" t="s">
        <v>30</v>
      </c>
      <c r="I195" s="30">
        <f>IFERROR(VLOOKUP(H195,CARTON_LOOKUP!$A:$E,3,0),"")</f>
      </c>
      <c r="J195" s="30">
        <f>IFERROR(VLOOKUP(H195,CARTON_LOOKUP!$A:$E,4,0),"")</f>
      </c>
      <c r="K195" s="30">
        <f>IFERROR(VLOOKUP(H195,CARTON_LOOKUP!$A:$E,5,0),"")</f>
      </c>
      <c r="L195" s="31">
        <f>IFERROR(VLOOKUP(H195,CARTON_LOOKUP!$A:$E,2,0),"")</f>
      </c>
      <c r="M195" t="s">
        <v>101</v>
      </c>
      <c r="N195" t="s">
        <v>102</v>
      </c>
      <c r="O195" t="s">
        <v>103</v>
      </c>
    </row>
    <row r="196" spans="1:16" x14ac:dyDescent="0.25">
      <c r="A196" s="14"/>
      <c r="B196" s="28"/>
      <c r="C196" s="28"/>
      <c r="D196" t="s">
        <v>100</v>
      </c>
      <c r="E196" t="s">
        <v>50</v>
      </c>
      <c r="F196">
        <v>1</v>
      </c>
      <c r="G196" s="29">
        <v>0.21</v>
      </c>
      <c r="H196" t="s">
        <v>30</v>
      </c>
      <c r="I196" s="30">
        <f>IFERROR(VLOOKUP(H196,CARTON_LOOKUP!$A:$E,3,0),"")</f>
      </c>
      <c r="J196" s="30">
        <f>IFERROR(VLOOKUP(H196,CARTON_LOOKUP!$A:$E,4,0),"")</f>
      </c>
      <c r="K196" s="30">
        <f>IFERROR(VLOOKUP(H196,CARTON_LOOKUP!$A:$E,5,0),"")</f>
      </c>
      <c r="L196" s="31">
        <f>IFERROR(VLOOKUP(H196,CARTON_LOOKUP!$A:$E,2,0),"")</f>
      </c>
      <c r="M196" t="s">
        <v>101</v>
      </c>
      <c r="N196" t="s">
        <v>102</v>
      </c>
      <c r="O196" t="s">
        <v>103</v>
      </c>
    </row>
    <row r="197" spans="1:16" x14ac:dyDescent="0.25">
      <c r="A197" s="14"/>
      <c r="B197" s="28"/>
      <c r="C197" s="28"/>
      <c r="D197" t="s">
        <v>100</v>
      </c>
      <c r="E197" t="s">
        <v>50</v>
      </c>
      <c r="F197">
        <v>1</v>
      </c>
      <c r="G197" s="29">
        <v>0.21</v>
      </c>
      <c r="H197" t="s">
        <v>30</v>
      </c>
      <c r="I197" s="30">
        <f>IFERROR(VLOOKUP(H197,CARTON_LOOKUP!$A:$E,3,0),"")</f>
      </c>
      <c r="J197" s="30">
        <f>IFERROR(VLOOKUP(H197,CARTON_LOOKUP!$A:$E,4,0),"")</f>
      </c>
      <c r="K197" s="30">
        <f>IFERROR(VLOOKUP(H197,CARTON_LOOKUP!$A:$E,5,0),"")</f>
      </c>
      <c r="L197" s="31">
        <f>IFERROR(VLOOKUP(H197,CARTON_LOOKUP!$A:$E,2,0),"")</f>
      </c>
      <c r="M197" t="s">
        <v>101</v>
      </c>
      <c r="N197" t="s">
        <v>102</v>
      </c>
      <c r="O197" t="s">
        <v>103</v>
      </c>
    </row>
    <row r="198" spans="1:16" x14ac:dyDescent="0.25">
      <c r="A198" s="14"/>
      <c r="B198" s="28"/>
      <c r="C198" s="28"/>
      <c r="D198" t="s">
        <v>100</v>
      </c>
      <c r="E198" t="s">
        <v>50</v>
      </c>
      <c r="F198">
        <v>1</v>
      </c>
      <c r="G198" s="29">
        <v>0.21</v>
      </c>
      <c r="H198" t="s">
        <v>30</v>
      </c>
      <c r="I198" s="30">
        <f>IFERROR(VLOOKUP(H198,CARTON_LOOKUP!$A:$E,3,0),"")</f>
      </c>
      <c r="J198" s="30">
        <f>IFERROR(VLOOKUP(H198,CARTON_LOOKUP!$A:$E,4,0),"")</f>
      </c>
      <c r="K198" s="30">
        <f>IFERROR(VLOOKUP(H198,CARTON_LOOKUP!$A:$E,5,0),"")</f>
      </c>
      <c r="L198" s="31">
        <f>IFERROR(VLOOKUP(H198,CARTON_LOOKUP!$A:$E,2,0),"")</f>
      </c>
      <c r="M198" t="s">
        <v>101</v>
      </c>
      <c r="N198" t="s">
        <v>102</v>
      </c>
      <c r="O198" t="s">
        <v>103</v>
      </c>
    </row>
    <row r="199" spans="1:16" x14ac:dyDescent="0.25">
      <c r="A199" s="14"/>
      <c r="B199" s="28"/>
      <c r="C199" s="28"/>
      <c r="D199" t="s">
        <v>100</v>
      </c>
      <c r="E199" t="s">
        <v>50</v>
      </c>
      <c r="F199">
        <v>1</v>
      </c>
      <c r="G199" s="29">
        <v>0.21</v>
      </c>
      <c r="H199" t="s">
        <v>30</v>
      </c>
      <c r="I199" s="30">
        <f>IFERROR(VLOOKUP(H199,CARTON_LOOKUP!$A:$E,3,0),"")</f>
      </c>
      <c r="J199" s="30">
        <f>IFERROR(VLOOKUP(H199,CARTON_LOOKUP!$A:$E,4,0),"")</f>
      </c>
      <c r="K199" s="30">
        <f>IFERROR(VLOOKUP(H199,CARTON_LOOKUP!$A:$E,5,0),"")</f>
      </c>
      <c r="L199" s="31">
        <f>IFERROR(VLOOKUP(H199,CARTON_LOOKUP!$A:$E,2,0),"")</f>
      </c>
      <c r="M199" t="s">
        <v>101</v>
      </c>
      <c r="N199" t="s">
        <v>102</v>
      </c>
      <c r="O199" t="s">
        <v>103</v>
      </c>
    </row>
    <row r="200" spans="1:16" x14ac:dyDescent="0.25">
      <c r="A200" s="14"/>
      <c r="B200" s="28"/>
      <c r="C200" s="28"/>
      <c r="D200" t="s">
        <v>100</v>
      </c>
      <c r="E200" t="s">
        <v>50</v>
      </c>
      <c r="F200">
        <v>1</v>
      </c>
      <c r="G200" s="29">
        <v>0.21</v>
      </c>
      <c r="H200" t="s">
        <v>30</v>
      </c>
      <c r="I200" s="30">
        <f>IFERROR(VLOOKUP(H200,CARTON_LOOKUP!$A:$E,3,0),"")</f>
      </c>
      <c r="J200" s="30">
        <f>IFERROR(VLOOKUP(H200,CARTON_LOOKUP!$A:$E,4,0),"")</f>
      </c>
      <c r="K200" s="30">
        <f>IFERROR(VLOOKUP(H200,CARTON_LOOKUP!$A:$E,5,0),"")</f>
      </c>
      <c r="L200" s="31">
        <f>IFERROR(VLOOKUP(H200,CARTON_LOOKUP!$A:$E,2,0),"")</f>
      </c>
      <c r="M200" t="s">
        <v>101</v>
      </c>
      <c r="N200" t="s">
        <v>102</v>
      </c>
      <c r="O200" t="s">
        <v>103</v>
      </c>
    </row>
    <row r="201" spans="1:16" x14ac:dyDescent="0.25">
      <c r="A201" s="14"/>
      <c r="B201" s="28"/>
      <c r="C201" s="28"/>
      <c r="D201" t="s">
        <v>100</v>
      </c>
      <c r="E201" t="s">
        <v>50</v>
      </c>
      <c r="F201">
        <v>1</v>
      </c>
      <c r="G201" s="29">
        <v>0.21</v>
      </c>
      <c r="H201" t="s">
        <v>30</v>
      </c>
      <c r="I201" s="30">
        <f>IFERROR(VLOOKUP(H201,CARTON_LOOKUP!$A:$E,3,0),"")</f>
      </c>
      <c r="J201" s="30">
        <f>IFERROR(VLOOKUP(H201,CARTON_LOOKUP!$A:$E,4,0),"")</f>
      </c>
      <c r="K201" s="30">
        <f>IFERROR(VLOOKUP(H201,CARTON_LOOKUP!$A:$E,5,0),"")</f>
      </c>
      <c r="L201" s="31">
        <f>IFERROR(VLOOKUP(H201,CARTON_LOOKUP!$A:$E,2,0),"")</f>
      </c>
      <c r="M201" t="s">
        <v>101</v>
      </c>
      <c r="N201" t="s">
        <v>102</v>
      </c>
      <c r="O201" t="s">
        <v>103</v>
      </c>
    </row>
    <row r="202" spans="1:16" x14ac:dyDescent="0.25">
      <c r="A202" s="14"/>
      <c r="B202" s="28"/>
      <c r="C202" s="28"/>
      <c r="D202" t="s">
        <v>100</v>
      </c>
      <c r="E202" t="s">
        <v>50</v>
      </c>
      <c r="F202">
        <v>1</v>
      </c>
      <c r="G202" s="29">
        <v>0.21</v>
      </c>
      <c r="H202" t="s">
        <v>30</v>
      </c>
      <c r="I202" s="30">
        <f>IFERROR(VLOOKUP(H202,CARTON_LOOKUP!$A:$E,3,0),"")</f>
      </c>
      <c r="J202" s="30">
        <f>IFERROR(VLOOKUP(H202,CARTON_LOOKUP!$A:$E,4,0),"")</f>
      </c>
      <c r="K202" s="30">
        <f>IFERROR(VLOOKUP(H202,CARTON_LOOKUP!$A:$E,5,0),"")</f>
      </c>
      <c r="L202" s="31">
        <f>IFERROR(VLOOKUP(H202,CARTON_LOOKUP!$A:$E,2,0),"")</f>
      </c>
      <c r="M202" t="s">
        <v>101</v>
      </c>
      <c r="N202" t="s">
        <v>102</v>
      </c>
      <c r="O202" t="s">
        <v>103</v>
      </c>
    </row>
    <row r="203" spans="1:16" x14ac:dyDescent="0.25">
      <c r="A203" s="14"/>
      <c r="B203" s="28"/>
      <c r="C203" s="28"/>
      <c r="D203" t="s">
        <v>100</v>
      </c>
      <c r="E203" t="s">
        <v>50</v>
      </c>
      <c r="F203">
        <v>1</v>
      </c>
      <c r="G203" s="29">
        <v>0.21</v>
      </c>
      <c r="H203" t="s">
        <v>30</v>
      </c>
      <c r="I203" s="30">
        <f>IFERROR(VLOOKUP(H203,CARTON_LOOKUP!$A:$E,3,0),"")</f>
      </c>
      <c r="J203" s="30">
        <f>IFERROR(VLOOKUP(H203,CARTON_LOOKUP!$A:$E,4,0),"")</f>
      </c>
      <c r="K203" s="30">
        <f>IFERROR(VLOOKUP(H203,CARTON_LOOKUP!$A:$E,5,0),"")</f>
      </c>
      <c r="L203" s="31">
        <f>IFERROR(VLOOKUP(H203,CARTON_LOOKUP!$A:$E,2,0),"")</f>
      </c>
      <c r="M203" t="s">
        <v>101</v>
      </c>
      <c r="N203" t="s">
        <v>102</v>
      </c>
      <c r="O203" t="s">
        <v>103</v>
      </c>
    </row>
    <row r="204" spans="1:16" x14ac:dyDescent="0.25">
      <c r="A204" s="14"/>
      <c r="B204" s="28"/>
      <c r="C204" s="28"/>
      <c r="D204" t="s">
        <v>100</v>
      </c>
      <c r="E204" t="s">
        <v>50</v>
      </c>
      <c r="F204">
        <v>1</v>
      </c>
      <c r="G204" s="29">
        <v>0.21</v>
      </c>
      <c r="H204" t="s">
        <v>30</v>
      </c>
      <c r="I204" s="30">
        <f>IFERROR(VLOOKUP(H204,CARTON_LOOKUP!$A:$E,3,0),"")</f>
      </c>
      <c r="J204" s="30">
        <f>IFERROR(VLOOKUP(H204,CARTON_LOOKUP!$A:$E,4,0),"")</f>
      </c>
      <c r="K204" s="30">
        <f>IFERROR(VLOOKUP(H204,CARTON_LOOKUP!$A:$E,5,0),"")</f>
      </c>
      <c r="L204" s="31">
        <f>IFERROR(VLOOKUP(H204,CARTON_LOOKUP!$A:$E,2,0),"")</f>
      </c>
      <c r="M204" t="s">
        <v>101</v>
      </c>
      <c r="N204" t="s">
        <v>102</v>
      </c>
      <c r="O204" t="s">
        <v>103</v>
      </c>
    </row>
    <row r="205" spans="1:16" x14ac:dyDescent="0.25">
      <c r="A205" s="14"/>
      <c r="B205" s="28"/>
      <c r="C205" s="28"/>
      <c r="D205" t="s">
        <v>100</v>
      </c>
      <c r="E205" t="s">
        <v>50</v>
      </c>
      <c r="F205">
        <v>1</v>
      </c>
      <c r="G205" s="29">
        <v>0.21</v>
      </c>
      <c r="H205" t="s">
        <v>30</v>
      </c>
      <c r="I205" s="30">
        <f>IFERROR(VLOOKUP(H205,CARTON_LOOKUP!$A:$E,3,0),"")</f>
      </c>
      <c r="J205" s="30">
        <f>IFERROR(VLOOKUP(H205,CARTON_LOOKUP!$A:$E,4,0),"")</f>
      </c>
      <c r="K205" s="30">
        <f>IFERROR(VLOOKUP(H205,CARTON_LOOKUP!$A:$E,5,0),"")</f>
      </c>
      <c r="L205" s="31">
        <f>IFERROR(VLOOKUP(H205,CARTON_LOOKUP!$A:$E,2,0),"")</f>
      </c>
      <c r="M205" t="s">
        <v>101</v>
      </c>
      <c r="N205" t="s">
        <v>102</v>
      </c>
      <c r="O205" t="s">
        <v>103</v>
      </c>
    </row>
    <row r="206" spans="1:16" x14ac:dyDescent="0.25">
      <c r="A206" s="14"/>
      <c r="B206" s="28"/>
      <c r="C206" s="28"/>
      <c r="D206" t="s">
        <v>100</v>
      </c>
      <c r="E206" t="s">
        <v>50</v>
      </c>
      <c r="F206">
        <v>1</v>
      </c>
      <c r="G206" s="29">
        <v>0.21</v>
      </c>
      <c r="H206" t="s">
        <v>30</v>
      </c>
      <c r="I206" s="30">
        <f>IFERROR(VLOOKUP(H206,CARTON_LOOKUP!$A:$E,3,0),"")</f>
      </c>
      <c r="J206" s="30">
        <f>IFERROR(VLOOKUP(H206,CARTON_LOOKUP!$A:$E,4,0),"")</f>
      </c>
      <c r="K206" s="30">
        <f>IFERROR(VLOOKUP(H206,CARTON_LOOKUP!$A:$E,5,0),"")</f>
      </c>
      <c r="L206" s="31">
        <f>IFERROR(VLOOKUP(H206,CARTON_LOOKUP!$A:$E,2,0),"")</f>
      </c>
      <c r="M206" t="s">
        <v>101</v>
      </c>
      <c r="N206" t="s">
        <v>102</v>
      </c>
      <c r="O206" t="s">
        <v>103</v>
      </c>
    </row>
    <row r="207" spans="1:16" x14ac:dyDescent="0.25">
      <c r="A207" s="14"/>
      <c r="B207" s="28"/>
      <c r="C207" s="28"/>
      <c r="D207" t="s">
        <v>100</v>
      </c>
      <c r="E207" t="s">
        <v>50</v>
      </c>
      <c r="F207">
        <v>1</v>
      </c>
      <c r="G207" s="29">
        <v>0.21</v>
      </c>
      <c r="H207" t="s">
        <v>30</v>
      </c>
      <c r="I207" s="30">
        <f>IFERROR(VLOOKUP(H207,CARTON_LOOKUP!$A:$E,3,0),"")</f>
      </c>
      <c r="J207" s="30">
        <f>IFERROR(VLOOKUP(H207,CARTON_LOOKUP!$A:$E,4,0),"")</f>
      </c>
      <c r="K207" s="30">
        <f>IFERROR(VLOOKUP(H207,CARTON_LOOKUP!$A:$E,5,0),"")</f>
      </c>
      <c r="L207" s="31">
        <f>IFERROR(VLOOKUP(H207,CARTON_LOOKUP!$A:$E,2,0),"")</f>
      </c>
      <c r="M207" t="s">
        <v>101</v>
      </c>
      <c r="N207" t="s">
        <v>102</v>
      </c>
      <c r="O207" t="s">
        <v>103</v>
      </c>
    </row>
    <row r="208" spans="1:16" x14ac:dyDescent="0.25">
      <c r="A208" s="14"/>
      <c r="B208" s="28"/>
      <c r="C208" s="28"/>
      <c r="D208" t="s">
        <v>100</v>
      </c>
      <c r="E208" t="s">
        <v>50</v>
      </c>
      <c r="F208">
        <v>1</v>
      </c>
      <c r="G208" s="29">
        <v>0.21</v>
      </c>
      <c r="H208" t="s">
        <v>30</v>
      </c>
      <c r="I208" s="30">
        <f>IFERROR(VLOOKUP(H208,CARTON_LOOKUP!$A:$E,3,0),"")</f>
      </c>
      <c r="J208" s="30">
        <f>IFERROR(VLOOKUP(H208,CARTON_LOOKUP!$A:$E,4,0),"")</f>
      </c>
      <c r="K208" s="30">
        <f>IFERROR(VLOOKUP(H208,CARTON_LOOKUP!$A:$E,5,0),"")</f>
      </c>
      <c r="L208" s="31">
        <f>IFERROR(VLOOKUP(H208,CARTON_LOOKUP!$A:$E,2,0),"")</f>
      </c>
      <c r="M208" t="s">
        <v>101</v>
      </c>
      <c r="N208" t="s">
        <v>102</v>
      </c>
      <c r="O208" t="s">
        <v>103</v>
      </c>
    </row>
    <row r="209" spans="1:16" x14ac:dyDescent="0.25">
      <c r="A209" s="14"/>
      <c r="B209" s="28"/>
      <c r="C209" s="28"/>
      <c r="D209" t="s">
        <v>100</v>
      </c>
      <c r="E209" t="s">
        <v>50</v>
      </c>
      <c r="F209">
        <v>1</v>
      </c>
      <c r="G209" s="29">
        <v>0.21</v>
      </c>
      <c r="H209" t="s">
        <v>30</v>
      </c>
      <c r="I209" s="30">
        <f>IFERROR(VLOOKUP(H209,CARTON_LOOKUP!$A:$E,3,0),"")</f>
      </c>
      <c r="J209" s="30">
        <f>IFERROR(VLOOKUP(H209,CARTON_LOOKUP!$A:$E,4,0),"")</f>
      </c>
      <c r="K209" s="30">
        <f>IFERROR(VLOOKUP(H209,CARTON_LOOKUP!$A:$E,5,0),"")</f>
      </c>
      <c r="L209" s="31">
        <f>IFERROR(VLOOKUP(H209,CARTON_LOOKUP!$A:$E,2,0),"")</f>
      </c>
      <c r="M209" t="s">
        <v>101</v>
      </c>
      <c r="N209" t="s">
        <v>102</v>
      </c>
      <c r="O209" t="s">
        <v>103</v>
      </c>
    </row>
    <row r="210" spans="1:16" x14ac:dyDescent="0.25">
      <c r="A210" s="14"/>
      <c r="B210" s="28"/>
      <c r="C210" s="28"/>
      <c r="D210" t="s">
        <v>100</v>
      </c>
      <c r="E210" t="s">
        <v>50</v>
      </c>
      <c r="F210">
        <v>1</v>
      </c>
      <c r="G210" s="29">
        <v>0.21</v>
      </c>
      <c r="H210" t="s">
        <v>30</v>
      </c>
      <c r="I210" s="30">
        <f>IFERROR(VLOOKUP(H210,CARTON_LOOKUP!$A:$E,3,0),"")</f>
      </c>
      <c r="J210" s="30">
        <f>IFERROR(VLOOKUP(H210,CARTON_LOOKUP!$A:$E,4,0),"")</f>
      </c>
      <c r="K210" s="30">
        <f>IFERROR(VLOOKUP(H210,CARTON_LOOKUP!$A:$E,5,0),"")</f>
      </c>
      <c r="L210" s="31">
        <f>IFERROR(VLOOKUP(H210,CARTON_LOOKUP!$A:$E,2,0),"")</f>
      </c>
      <c r="M210" t="s">
        <v>101</v>
      </c>
      <c r="N210" t="s">
        <v>102</v>
      </c>
      <c r="O210" t="s">
        <v>103</v>
      </c>
    </row>
    <row r="211" spans="1:16" x14ac:dyDescent="0.25">
      <c r="A211" s="14"/>
      <c r="B211" s="28"/>
      <c r="C211" s="28"/>
      <c r="D211" t="s">
        <v>100</v>
      </c>
      <c r="E211" t="s">
        <v>50</v>
      </c>
      <c r="F211">
        <v>1</v>
      </c>
      <c r="G211" s="29">
        <v>0.21</v>
      </c>
      <c r="H211" t="s">
        <v>30</v>
      </c>
      <c r="I211" s="30">
        <f>IFERROR(VLOOKUP(H211,CARTON_LOOKUP!$A:$E,3,0),"")</f>
      </c>
      <c r="J211" s="30">
        <f>IFERROR(VLOOKUP(H211,CARTON_LOOKUP!$A:$E,4,0),"")</f>
      </c>
      <c r="K211" s="30">
        <f>IFERROR(VLOOKUP(H211,CARTON_LOOKUP!$A:$E,5,0),"")</f>
      </c>
      <c r="L211" s="31">
        <f>IFERROR(VLOOKUP(H211,CARTON_LOOKUP!$A:$E,2,0),"")</f>
      </c>
      <c r="M211" t="s">
        <v>101</v>
      </c>
      <c r="N211" t="s">
        <v>102</v>
      </c>
      <c r="O211" t="s">
        <v>103</v>
      </c>
    </row>
    <row r="212" spans="1:16" x14ac:dyDescent="0.25">
      <c r="A212" s="14"/>
      <c r="B212" s="28"/>
      <c r="C212" s="28"/>
      <c r="D212" t="s">
        <v>100</v>
      </c>
      <c r="E212" t="s">
        <v>50</v>
      </c>
      <c r="F212">
        <v>1</v>
      </c>
      <c r="G212" s="29">
        <v>0.21</v>
      </c>
      <c r="H212" t="s">
        <v>30</v>
      </c>
      <c r="I212" s="30">
        <f>IFERROR(VLOOKUP(H212,CARTON_LOOKUP!$A:$E,3,0),"")</f>
      </c>
      <c r="J212" s="30">
        <f>IFERROR(VLOOKUP(H212,CARTON_LOOKUP!$A:$E,4,0),"")</f>
      </c>
      <c r="K212" s="30">
        <f>IFERROR(VLOOKUP(H212,CARTON_LOOKUP!$A:$E,5,0),"")</f>
      </c>
      <c r="L212" s="31">
        <f>IFERROR(VLOOKUP(H212,CARTON_LOOKUP!$A:$E,2,0),"")</f>
      </c>
      <c r="M212" t="s">
        <v>101</v>
      </c>
      <c r="N212" t="s">
        <v>102</v>
      </c>
      <c r="O212" t="s">
        <v>103</v>
      </c>
    </row>
    <row r="213" spans="1:16" x14ac:dyDescent="0.25">
      <c r="A213" s="14"/>
      <c r="B213" s="28"/>
      <c r="C213" s="28"/>
      <c r="D213" t="s">
        <v>100</v>
      </c>
      <c r="E213" t="s">
        <v>50</v>
      </c>
      <c r="F213">
        <v>1</v>
      </c>
      <c r="G213" s="29">
        <v>0.21</v>
      </c>
      <c r="H213" t="s">
        <v>30</v>
      </c>
      <c r="I213" s="30">
        <f>IFERROR(VLOOKUP(H213,CARTON_LOOKUP!$A:$E,3,0),"")</f>
      </c>
      <c r="J213" s="30">
        <f>IFERROR(VLOOKUP(H213,CARTON_LOOKUP!$A:$E,4,0),"")</f>
      </c>
      <c r="K213" s="30">
        <f>IFERROR(VLOOKUP(H213,CARTON_LOOKUP!$A:$E,5,0),"")</f>
      </c>
      <c r="L213" s="31">
        <f>IFERROR(VLOOKUP(H213,CARTON_LOOKUP!$A:$E,2,0),"")</f>
      </c>
      <c r="M213" t="s">
        <v>101</v>
      </c>
      <c r="N213" t="s">
        <v>102</v>
      </c>
      <c r="O213" t="s">
        <v>103</v>
      </c>
    </row>
    <row r="214" spans="1:16" x14ac:dyDescent="0.25">
      <c r="A214" s="14"/>
      <c r="B214" s="28"/>
      <c r="C214" s="28"/>
      <c r="D214" t="s">
        <v>100</v>
      </c>
      <c r="E214" t="s">
        <v>50</v>
      </c>
      <c r="F214">
        <v>1</v>
      </c>
      <c r="G214" s="29">
        <v>0.21</v>
      </c>
      <c r="H214" t="s">
        <v>30</v>
      </c>
      <c r="I214" s="30">
        <f>IFERROR(VLOOKUP(H214,CARTON_LOOKUP!$A:$E,3,0),"")</f>
      </c>
      <c r="J214" s="30">
        <f>IFERROR(VLOOKUP(H214,CARTON_LOOKUP!$A:$E,4,0),"")</f>
      </c>
      <c r="K214" s="30">
        <f>IFERROR(VLOOKUP(H214,CARTON_LOOKUP!$A:$E,5,0),"")</f>
      </c>
      <c r="L214" s="31">
        <f>IFERROR(VLOOKUP(H214,CARTON_LOOKUP!$A:$E,2,0),"")</f>
      </c>
      <c r="M214" t="s">
        <v>101</v>
      </c>
      <c r="N214" t="s">
        <v>102</v>
      </c>
      <c r="O214" t="s">
        <v>103</v>
      </c>
    </row>
    <row r="215" spans="1:16" x14ac:dyDescent="0.25">
      <c r="A215" s="14"/>
      <c r="B215" s="28"/>
      <c r="C215" s="28"/>
      <c r="D215" t="s">
        <v>100</v>
      </c>
      <c r="E215" t="s">
        <v>50</v>
      </c>
      <c r="F215">
        <v>1</v>
      </c>
      <c r="G215" s="29">
        <v>0.21</v>
      </c>
      <c r="H215" t="s">
        <v>30</v>
      </c>
      <c r="I215" s="30">
        <f>IFERROR(VLOOKUP(H215,CARTON_LOOKUP!$A:$E,3,0),"")</f>
      </c>
      <c r="J215" s="30">
        <f>IFERROR(VLOOKUP(H215,CARTON_LOOKUP!$A:$E,4,0),"")</f>
      </c>
      <c r="K215" s="30">
        <f>IFERROR(VLOOKUP(H215,CARTON_LOOKUP!$A:$E,5,0),"")</f>
      </c>
      <c r="L215" s="31">
        <f>IFERROR(VLOOKUP(H215,CARTON_LOOKUP!$A:$E,2,0),"")</f>
      </c>
      <c r="M215" t="s">
        <v>101</v>
      </c>
      <c r="N215" t="s">
        <v>102</v>
      </c>
      <c r="O215" t="s">
        <v>103</v>
      </c>
    </row>
    <row r="216" spans="1:16" x14ac:dyDescent="0.25">
      <c r="A216" s="14"/>
      <c r="B216" s="28"/>
      <c r="C216" s="28"/>
      <c r="D216" t="s">
        <v>100</v>
      </c>
      <c r="E216" t="s">
        <v>50</v>
      </c>
      <c r="F216">
        <v>1</v>
      </c>
      <c r="G216" s="29">
        <v>0.21</v>
      </c>
      <c r="H216" t="s">
        <v>30</v>
      </c>
      <c r="I216" s="30">
        <f>IFERROR(VLOOKUP(H216,CARTON_LOOKUP!$A:$E,3,0),"")</f>
      </c>
      <c r="J216" s="30">
        <f>IFERROR(VLOOKUP(H216,CARTON_LOOKUP!$A:$E,4,0),"")</f>
      </c>
      <c r="K216" s="30">
        <f>IFERROR(VLOOKUP(H216,CARTON_LOOKUP!$A:$E,5,0),"")</f>
      </c>
      <c r="L216" s="31">
        <f>IFERROR(VLOOKUP(H216,CARTON_LOOKUP!$A:$E,2,0),"")</f>
      </c>
      <c r="M216" t="s">
        <v>101</v>
      </c>
      <c r="N216" t="s">
        <v>102</v>
      </c>
      <c r="O216" t="s">
        <v>103</v>
      </c>
    </row>
    <row r="217" spans="1:16" x14ac:dyDescent="0.25">
      <c r="A217" s="14"/>
      <c r="B217" s="28"/>
      <c r="C217" s="28"/>
      <c r="D217" t="s">
        <v>100</v>
      </c>
      <c r="E217" t="s">
        <v>50</v>
      </c>
      <c r="F217">
        <v>1</v>
      </c>
      <c r="G217" s="29">
        <v>0.21</v>
      </c>
      <c r="H217" t="s">
        <v>30</v>
      </c>
      <c r="I217" s="30">
        <f>IFERROR(VLOOKUP(H217,CARTON_LOOKUP!$A:$E,3,0),"")</f>
      </c>
      <c r="J217" s="30">
        <f>IFERROR(VLOOKUP(H217,CARTON_LOOKUP!$A:$E,4,0),"")</f>
      </c>
      <c r="K217" s="30">
        <f>IFERROR(VLOOKUP(H217,CARTON_LOOKUP!$A:$E,5,0),"")</f>
      </c>
      <c r="L217" s="31">
        <f>IFERROR(VLOOKUP(H217,CARTON_LOOKUP!$A:$E,2,0),"")</f>
      </c>
      <c r="M217" t="s">
        <v>101</v>
      </c>
      <c r="N217" t="s">
        <v>102</v>
      </c>
      <c r="O217" t="s">
        <v>103</v>
      </c>
    </row>
    <row r="218" spans="1:16" x14ac:dyDescent="0.25">
      <c r="A218" s="14"/>
      <c r="B218" s="28"/>
      <c r="C218" s="28"/>
      <c r="D218" t="s">
        <v>100</v>
      </c>
      <c r="E218" t="s">
        <v>50</v>
      </c>
      <c r="F218">
        <v>1</v>
      </c>
      <c r="G218" s="29">
        <v>0.21</v>
      </c>
      <c r="H218" t="s">
        <v>30</v>
      </c>
      <c r="I218" s="30">
        <f>IFERROR(VLOOKUP(H218,CARTON_LOOKUP!$A:$E,3,0),"")</f>
      </c>
      <c r="J218" s="30">
        <f>IFERROR(VLOOKUP(H218,CARTON_LOOKUP!$A:$E,4,0),"")</f>
      </c>
      <c r="K218" s="30">
        <f>IFERROR(VLOOKUP(H218,CARTON_LOOKUP!$A:$E,5,0),"")</f>
      </c>
      <c r="L218" s="31">
        <f>IFERROR(VLOOKUP(H218,CARTON_LOOKUP!$A:$E,2,0),"")</f>
      </c>
      <c r="M218" t="s">
        <v>101</v>
      </c>
      <c r="N218" t="s">
        <v>102</v>
      </c>
      <c r="O218" t="s">
        <v>103</v>
      </c>
    </row>
    <row r="219" spans="1:16" x14ac:dyDescent="0.25">
      <c r="A219" s="14"/>
      <c r="B219" s="28"/>
      <c r="C219" s="28"/>
      <c r="D219" t="s">
        <v>100</v>
      </c>
      <c r="E219" t="s">
        <v>50</v>
      </c>
      <c r="F219">
        <v>1</v>
      </c>
      <c r="G219" s="29">
        <v>0.21</v>
      </c>
      <c r="H219" t="s">
        <v>30</v>
      </c>
      <c r="I219" s="30">
        <f>IFERROR(VLOOKUP(H219,CARTON_LOOKUP!$A:$E,3,0),"")</f>
      </c>
      <c r="J219" s="30">
        <f>IFERROR(VLOOKUP(H219,CARTON_LOOKUP!$A:$E,4,0),"")</f>
      </c>
      <c r="K219" s="30">
        <f>IFERROR(VLOOKUP(H219,CARTON_LOOKUP!$A:$E,5,0),"")</f>
      </c>
      <c r="L219" s="31">
        <f>IFERROR(VLOOKUP(H219,CARTON_LOOKUP!$A:$E,2,0),"")</f>
      </c>
      <c r="M219" t="s">
        <v>101</v>
      </c>
      <c r="N219" t="s">
        <v>102</v>
      </c>
      <c r="O219" t="s">
        <v>103</v>
      </c>
    </row>
    <row r="220" spans="1:16" x14ac:dyDescent="0.25">
      <c r="A220" s="14"/>
      <c r="B220" s="28"/>
      <c r="C220" s="28"/>
      <c r="D220" t="s">
        <v>100</v>
      </c>
      <c r="E220" t="s">
        <v>50</v>
      </c>
      <c r="F220">
        <v>1</v>
      </c>
      <c r="G220" s="29">
        <v>0.21</v>
      </c>
      <c r="H220" t="s">
        <v>30</v>
      </c>
      <c r="I220" s="30">
        <f>IFERROR(VLOOKUP(H220,CARTON_LOOKUP!$A:$E,3,0),"")</f>
      </c>
      <c r="J220" s="30">
        <f>IFERROR(VLOOKUP(H220,CARTON_LOOKUP!$A:$E,4,0),"")</f>
      </c>
      <c r="K220" s="30">
        <f>IFERROR(VLOOKUP(H220,CARTON_LOOKUP!$A:$E,5,0),"")</f>
      </c>
      <c r="L220" s="31">
        <f>IFERROR(VLOOKUP(H220,CARTON_LOOKUP!$A:$E,2,0),"")</f>
      </c>
      <c r="M220" t="s">
        <v>101</v>
      </c>
      <c r="N220" t="s">
        <v>102</v>
      </c>
      <c r="O220" t="s">
        <v>103</v>
      </c>
    </row>
    <row r="221" spans="1:16" x14ac:dyDescent="0.25">
      <c r="A221" s="14"/>
      <c r="B221" s="28"/>
      <c r="C221" s="28"/>
      <c r="D221" t="s">
        <v>100</v>
      </c>
      <c r="E221" t="s">
        <v>50</v>
      </c>
      <c r="F221">
        <v>1</v>
      </c>
      <c r="G221" s="29">
        <v>0.21</v>
      </c>
      <c r="H221" t="s">
        <v>30</v>
      </c>
      <c r="I221" s="30">
        <f>IFERROR(VLOOKUP(H221,CARTON_LOOKUP!$A:$E,3,0),"")</f>
      </c>
      <c r="J221" s="30">
        <f>IFERROR(VLOOKUP(H221,CARTON_LOOKUP!$A:$E,4,0),"")</f>
      </c>
      <c r="K221" s="30">
        <f>IFERROR(VLOOKUP(H221,CARTON_LOOKUP!$A:$E,5,0),"")</f>
      </c>
      <c r="L221" s="31">
        <f>IFERROR(VLOOKUP(H221,CARTON_LOOKUP!$A:$E,2,0),"")</f>
      </c>
      <c r="M221" t="s">
        <v>101</v>
      </c>
      <c r="N221" t="s">
        <v>102</v>
      </c>
      <c r="O221" t="s">
        <v>103</v>
      </c>
    </row>
    <row r="222" spans="1:16" x14ac:dyDescent="0.25">
      <c r="A222" s="14"/>
      <c r="B222" s="28"/>
      <c r="C222" s="28"/>
      <c r="D222" t="s">
        <v>100</v>
      </c>
      <c r="E222" t="s">
        <v>50</v>
      </c>
      <c r="F222">
        <v>1</v>
      </c>
      <c r="G222" s="29">
        <v>0.21</v>
      </c>
      <c r="H222" t="s">
        <v>30</v>
      </c>
      <c r="I222" s="30">
        <f>IFERROR(VLOOKUP(H222,CARTON_LOOKUP!$A:$E,3,0),"")</f>
      </c>
      <c r="J222" s="30">
        <f>IFERROR(VLOOKUP(H222,CARTON_LOOKUP!$A:$E,4,0),"")</f>
      </c>
      <c r="K222" s="30">
        <f>IFERROR(VLOOKUP(H222,CARTON_LOOKUP!$A:$E,5,0),"")</f>
      </c>
      <c r="L222" s="31">
        <f>IFERROR(VLOOKUP(H222,CARTON_LOOKUP!$A:$E,2,0),"")</f>
      </c>
      <c r="M222" t="s">
        <v>101</v>
      </c>
      <c r="N222" t="s">
        <v>102</v>
      </c>
      <c r="O222" t="s">
        <v>103</v>
      </c>
    </row>
    <row r="223" spans="1:16" x14ac:dyDescent="0.25">
      <c r="A223" s="14"/>
      <c r="B223" s="28"/>
      <c r="C223" s="28"/>
      <c r="D223" t="s">
        <v>100</v>
      </c>
      <c r="E223" t="s">
        <v>50</v>
      </c>
      <c r="F223">
        <v>1</v>
      </c>
      <c r="G223" s="29">
        <v>0.21</v>
      </c>
      <c r="H223" t="s">
        <v>30</v>
      </c>
      <c r="I223" s="30">
        <f>IFERROR(VLOOKUP(H223,CARTON_LOOKUP!$A:$E,3,0),"")</f>
      </c>
      <c r="J223" s="30">
        <f>IFERROR(VLOOKUP(H223,CARTON_LOOKUP!$A:$E,4,0),"")</f>
      </c>
      <c r="K223" s="30">
        <f>IFERROR(VLOOKUP(H223,CARTON_LOOKUP!$A:$E,5,0),"")</f>
      </c>
      <c r="L223" s="31">
        <f>IFERROR(VLOOKUP(H223,CARTON_LOOKUP!$A:$E,2,0),"")</f>
      </c>
      <c r="M223" t="s">
        <v>101</v>
      </c>
      <c r="N223" t="s">
        <v>102</v>
      </c>
      <c r="O223" t="s">
        <v>103</v>
      </c>
    </row>
    <row r="224" spans="1:16" x14ac:dyDescent="0.25">
      <c r="A224" s="14"/>
      <c r="B224" s="28"/>
      <c r="C224" s="28"/>
      <c r="D224" t="s">
        <v>100</v>
      </c>
      <c r="E224" t="s">
        <v>50</v>
      </c>
      <c r="F224">
        <v>1</v>
      </c>
      <c r="G224" s="29">
        <v>0.21</v>
      </c>
      <c r="H224" t="s">
        <v>30</v>
      </c>
      <c r="I224" s="30">
        <f>IFERROR(VLOOKUP(H224,CARTON_LOOKUP!$A:$E,3,0),"")</f>
      </c>
      <c r="J224" s="30">
        <f>IFERROR(VLOOKUP(H224,CARTON_LOOKUP!$A:$E,4,0),"")</f>
      </c>
      <c r="K224" s="30">
        <f>IFERROR(VLOOKUP(H224,CARTON_LOOKUP!$A:$E,5,0),"")</f>
      </c>
      <c r="L224" s="31">
        <f>IFERROR(VLOOKUP(H224,CARTON_LOOKUP!$A:$E,2,0),"")</f>
      </c>
      <c r="M224" t="s">
        <v>101</v>
      </c>
      <c r="N224" t="s">
        <v>102</v>
      </c>
      <c r="O224" t="s">
        <v>103</v>
      </c>
    </row>
    <row r="225" spans="1:16" x14ac:dyDescent="0.25">
      <c r="A225" s="14"/>
      <c r="B225" s="28"/>
      <c r="C225" s="28"/>
      <c r="D225" t="s">
        <v>100</v>
      </c>
      <c r="E225" t="s">
        <v>50</v>
      </c>
      <c r="F225">
        <v>1</v>
      </c>
      <c r="G225" s="29">
        <v>0.21</v>
      </c>
      <c r="H225" t="s">
        <v>30</v>
      </c>
      <c r="I225" s="30">
        <f>IFERROR(VLOOKUP(H225,CARTON_LOOKUP!$A:$E,3,0),"")</f>
      </c>
      <c r="J225" s="30">
        <f>IFERROR(VLOOKUP(H225,CARTON_LOOKUP!$A:$E,4,0),"")</f>
      </c>
      <c r="K225" s="30">
        <f>IFERROR(VLOOKUP(H225,CARTON_LOOKUP!$A:$E,5,0),"")</f>
      </c>
      <c r="L225" s="31">
        <f>IFERROR(VLOOKUP(H225,CARTON_LOOKUP!$A:$E,2,0),"")</f>
      </c>
      <c r="M225" t="s">
        <v>101</v>
      </c>
      <c r="N225" t="s">
        <v>102</v>
      </c>
      <c r="O225" t="s">
        <v>103</v>
      </c>
    </row>
    <row r="226" spans="1:16" x14ac:dyDescent="0.25">
      <c r="A226" s="14"/>
      <c r="B226" s="28"/>
      <c r="C226" s="28"/>
      <c r="D226" t="s">
        <v>100</v>
      </c>
      <c r="E226" t="s">
        <v>50</v>
      </c>
      <c r="F226">
        <v>1</v>
      </c>
      <c r="G226" s="29">
        <v>0.21</v>
      </c>
      <c r="H226" t="s">
        <v>30</v>
      </c>
      <c r="I226" s="30">
        <f>IFERROR(VLOOKUP(H226,CARTON_LOOKUP!$A:$E,3,0),"")</f>
      </c>
      <c r="J226" s="30">
        <f>IFERROR(VLOOKUP(H226,CARTON_LOOKUP!$A:$E,4,0),"")</f>
      </c>
      <c r="K226" s="30">
        <f>IFERROR(VLOOKUP(H226,CARTON_LOOKUP!$A:$E,5,0),"")</f>
      </c>
      <c r="L226" s="31">
        <f>IFERROR(VLOOKUP(H226,CARTON_LOOKUP!$A:$E,2,0),"")</f>
      </c>
      <c r="M226" t="s">
        <v>101</v>
      </c>
      <c r="N226" t="s">
        <v>102</v>
      </c>
      <c r="O226" t="s">
        <v>103</v>
      </c>
    </row>
    <row r="227" spans="1:16" x14ac:dyDescent="0.25">
      <c r="A227" s="14"/>
      <c r="B227" s="28"/>
      <c r="C227" s="28"/>
      <c r="D227" t="s">
        <v>100</v>
      </c>
      <c r="E227" t="s">
        <v>50</v>
      </c>
      <c r="F227">
        <v>1</v>
      </c>
      <c r="G227" s="29">
        <v>0.21</v>
      </c>
      <c r="H227" t="s">
        <v>30</v>
      </c>
      <c r="I227" s="30">
        <f>IFERROR(VLOOKUP(H227,CARTON_LOOKUP!$A:$E,3,0),"")</f>
      </c>
      <c r="J227" s="30">
        <f>IFERROR(VLOOKUP(H227,CARTON_LOOKUP!$A:$E,4,0),"")</f>
      </c>
      <c r="K227" s="30">
        <f>IFERROR(VLOOKUP(H227,CARTON_LOOKUP!$A:$E,5,0),"")</f>
      </c>
      <c r="L227" s="31">
        <f>IFERROR(VLOOKUP(H227,CARTON_LOOKUP!$A:$E,2,0),"")</f>
      </c>
      <c r="M227" t="s">
        <v>101</v>
      </c>
      <c r="N227" t="s">
        <v>102</v>
      </c>
      <c r="O227" t="s">
        <v>103</v>
      </c>
    </row>
    <row r="228" spans="1:16" x14ac:dyDescent="0.25">
      <c r="A228" s="14"/>
      <c r="B228" s="28"/>
      <c r="C228" s="28"/>
      <c r="D228" t="s">
        <v>100</v>
      </c>
      <c r="E228" t="s">
        <v>50</v>
      </c>
      <c r="F228">
        <v>1</v>
      </c>
      <c r="G228" s="29">
        <v>0.21</v>
      </c>
      <c r="H228" t="s">
        <v>30</v>
      </c>
      <c r="I228" s="30">
        <f>IFERROR(VLOOKUP(H228,CARTON_LOOKUP!$A:$E,3,0),"")</f>
      </c>
      <c r="J228" s="30">
        <f>IFERROR(VLOOKUP(H228,CARTON_LOOKUP!$A:$E,4,0),"")</f>
      </c>
      <c r="K228" s="30">
        <f>IFERROR(VLOOKUP(H228,CARTON_LOOKUP!$A:$E,5,0),"")</f>
      </c>
      <c r="L228" s="31">
        <f>IFERROR(VLOOKUP(H228,CARTON_LOOKUP!$A:$E,2,0),"")</f>
      </c>
      <c r="M228" t="s">
        <v>101</v>
      </c>
      <c r="N228" t="s">
        <v>102</v>
      </c>
      <c r="O228" t="s">
        <v>103</v>
      </c>
    </row>
    <row r="229" spans="1:16" x14ac:dyDescent="0.25">
      <c r="A229" s="14"/>
      <c r="B229" s="28"/>
      <c r="C229" s="28"/>
      <c r="D229" t="s">
        <v>100</v>
      </c>
      <c r="E229" t="s">
        <v>50</v>
      </c>
      <c r="F229">
        <v>1</v>
      </c>
      <c r="G229" s="29">
        <v>0.21</v>
      </c>
      <c r="H229" t="s">
        <v>30</v>
      </c>
      <c r="I229" s="30">
        <f>IFERROR(VLOOKUP(H229,CARTON_LOOKUP!$A:$E,3,0),"")</f>
      </c>
      <c r="J229" s="30">
        <f>IFERROR(VLOOKUP(H229,CARTON_LOOKUP!$A:$E,4,0),"")</f>
      </c>
      <c r="K229" s="30">
        <f>IFERROR(VLOOKUP(H229,CARTON_LOOKUP!$A:$E,5,0),"")</f>
      </c>
      <c r="L229" s="31">
        <f>IFERROR(VLOOKUP(H229,CARTON_LOOKUP!$A:$E,2,0),"")</f>
      </c>
      <c r="M229" t="s">
        <v>101</v>
      </c>
      <c r="N229" t="s">
        <v>102</v>
      </c>
      <c r="O229" t="s">
        <v>103</v>
      </c>
    </row>
    <row r="230" spans="1:16" x14ac:dyDescent="0.25">
      <c r="A230" s="14"/>
      <c r="B230" s="28"/>
      <c r="C230" s="28"/>
      <c r="D230" t="s">
        <v>100</v>
      </c>
      <c r="E230" t="s">
        <v>50</v>
      </c>
      <c r="F230">
        <v>1</v>
      </c>
      <c r="G230" s="29">
        <v>0.21</v>
      </c>
      <c r="H230" t="s">
        <v>30</v>
      </c>
      <c r="I230" s="30">
        <f>IFERROR(VLOOKUP(H230,CARTON_LOOKUP!$A:$E,3,0),"")</f>
      </c>
      <c r="J230" s="30">
        <f>IFERROR(VLOOKUP(H230,CARTON_LOOKUP!$A:$E,4,0),"")</f>
      </c>
      <c r="K230" s="30">
        <f>IFERROR(VLOOKUP(H230,CARTON_LOOKUP!$A:$E,5,0),"")</f>
      </c>
      <c r="L230" s="31">
        <f>IFERROR(VLOOKUP(H230,CARTON_LOOKUP!$A:$E,2,0),"")</f>
      </c>
      <c r="M230" t="s">
        <v>101</v>
      </c>
      <c r="N230" t="s">
        <v>102</v>
      </c>
      <c r="O230" t="s">
        <v>103</v>
      </c>
    </row>
    <row r="231" spans="1:16" x14ac:dyDescent="0.25">
      <c r="A231" s="14"/>
      <c r="B231" s="28"/>
      <c r="C231" s="28"/>
      <c r="D231" t="s">
        <v>100</v>
      </c>
      <c r="E231" t="s">
        <v>50</v>
      </c>
      <c r="F231">
        <v>1</v>
      </c>
      <c r="G231" s="29">
        <v>0.21</v>
      </c>
      <c r="H231" t="s">
        <v>30</v>
      </c>
      <c r="I231" s="30">
        <f>IFERROR(VLOOKUP(H231,CARTON_LOOKUP!$A:$E,3,0),"")</f>
      </c>
      <c r="J231" s="30">
        <f>IFERROR(VLOOKUP(H231,CARTON_LOOKUP!$A:$E,4,0),"")</f>
      </c>
      <c r="K231" s="30">
        <f>IFERROR(VLOOKUP(H231,CARTON_LOOKUP!$A:$E,5,0),"")</f>
      </c>
      <c r="L231" s="31">
        <f>IFERROR(VLOOKUP(H231,CARTON_LOOKUP!$A:$E,2,0),"")</f>
      </c>
      <c r="M231" t="s">
        <v>101</v>
      </c>
      <c r="N231" t="s">
        <v>102</v>
      </c>
      <c r="O231" t="s">
        <v>103</v>
      </c>
    </row>
    <row r="232" spans="1:16" x14ac:dyDescent="0.25">
      <c r="A232" s="14"/>
      <c r="B232" s="28"/>
      <c r="C232" s="28"/>
      <c r="D232" t="s">
        <v>100</v>
      </c>
      <c r="E232" t="s">
        <v>50</v>
      </c>
      <c r="F232">
        <v>1</v>
      </c>
      <c r="G232" s="29">
        <v>0.21</v>
      </c>
      <c r="H232" t="s">
        <v>30</v>
      </c>
      <c r="I232" s="30">
        <f>IFERROR(VLOOKUP(H232,CARTON_LOOKUP!$A:$E,3,0),"")</f>
      </c>
      <c r="J232" s="30">
        <f>IFERROR(VLOOKUP(H232,CARTON_LOOKUP!$A:$E,4,0),"")</f>
      </c>
      <c r="K232" s="30">
        <f>IFERROR(VLOOKUP(H232,CARTON_LOOKUP!$A:$E,5,0),"")</f>
      </c>
      <c r="L232" s="31">
        <f>IFERROR(VLOOKUP(H232,CARTON_LOOKUP!$A:$E,2,0),"")</f>
      </c>
      <c r="M232" t="s">
        <v>101</v>
      </c>
      <c r="N232" t="s">
        <v>102</v>
      </c>
      <c r="O232" t="s">
        <v>103</v>
      </c>
    </row>
    <row r="233" spans="1:16" x14ac:dyDescent="0.25">
      <c r="A233" s="14"/>
      <c r="B233" s="28"/>
      <c r="C233" s="28"/>
      <c r="D233" t="s">
        <v>100</v>
      </c>
      <c r="E233" t="s">
        <v>50</v>
      </c>
      <c r="F233">
        <v>1</v>
      </c>
      <c r="G233" s="29">
        <v>0.21</v>
      </c>
      <c r="H233" t="s">
        <v>30</v>
      </c>
      <c r="I233" s="30">
        <f>IFERROR(VLOOKUP(H233,CARTON_LOOKUP!$A:$E,3,0),"")</f>
      </c>
      <c r="J233" s="30">
        <f>IFERROR(VLOOKUP(H233,CARTON_LOOKUP!$A:$E,4,0),"")</f>
      </c>
      <c r="K233" s="30">
        <f>IFERROR(VLOOKUP(H233,CARTON_LOOKUP!$A:$E,5,0),"")</f>
      </c>
      <c r="L233" s="31">
        <f>IFERROR(VLOOKUP(H233,CARTON_LOOKUP!$A:$E,2,0),"")</f>
      </c>
      <c r="M233" t="s">
        <v>101</v>
      </c>
      <c r="N233" t="s">
        <v>102</v>
      </c>
      <c r="O233" t="s">
        <v>103</v>
      </c>
    </row>
    <row r="234" spans="1:16" x14ac:dyDescent="0.25">
      <c r="A234" s="14"/>
      <c r="B234" s="28"/>
      <c r="C234" s="28"/>
      <c r="D234" t="s">
        <v>100</v>
      </c>
      <c r="E234" t="s">
        <v>50</v>
      </c>
      <c r="F234">
        <v>1</v>
      </c>
      <c r="G234" s="29">
        <v>0.21</v>
      </c>
      <c r="H234" t="s">
        <v>30</v>
      </c>
      <c r="I234" s="30">
        <f>IFERROR(VLOOKUP(H234,CARTON_LOOKUP!$A:$E,3,0),"")</f>
      </c>
      <c r="J234" s="30">
        <f>IFERROR(VLOOKUP(H234,CARTON_LOOKUP!$A:$E,4,0),"")</f>
      </c>
      <c r="K234" s="30">
        <f>IFERROR(VLOOKUP(H234,CARTON_LOOKUP!$A:$E,5,0),"")</f>
      </c>
      <c r="L234" s="31">
        <f>IFERROR(VLOOKUP(H234,CARTON_LOOKUP!$A:$E,2,0),"")</f>
      </c>
      <c r="M234" t="s">
        <v>101</v>
      </c>
      <c r="N234" t="s">
        <v>102</v>
      </c>
      <c r="O234" t="s">
        <v>103</v>
      </c>
    </row>
    <row r="235" spans="1:16" x14ac:dyDescent="0.25">
      <c r="A235" s="14"/>
      <c r="B235" s="28"/>
      <c r="C235" s="28"/>
      <c r="D235" t="s">
        <v>100</v>
      </c>
      <c r="E235" t="s">
        <v>50</v>
      </c>
      <c r="F235">
        <v>1</v>
      </c>
      <c r="G235" s="29">
        <v>0.21</v>
      </c>
      <c r="H235" t="s">
        <v>30</v>
      </c>
      <c r="I235" s="30">
        <f>IFERROR(VLOOKUP(H235,CARTON_LOOKUP!$A:$E,3,0),"")</f>
      </c>
      <c r="J235" s="30">
        <f>IFERROR(VLOOKUP(H235,CARTON_LOOKUP!$A:$E,4,0),"")</f>
      </c>
      <c r="K235" s="30">
        <f>IFERROR(VLOOKUP(H235,CARTON_LOOKUP!$A:$E,5,0),"")</f>
      </c>
      <c r="L235" s="31">
        <f>IFERROR(VLOOKUP(H235,CARTON_LOOKUP!$A:$E,2,0),"")</f>
      </c>
      <c r="M235" t="s">
        <v>101</v>
      </c>
      <c r="N235" t="s">
        <v>102</v>
      </c>
      <c r="O235" t="s">
        <v>103</v>
      </c>
    </row>
    <row r="236" spans="1:16" x14ac:dyDescent="0.25">
      <c r="A236" s="14"/>
      <c r="B236" s="28"/>
      <c r="C236" s="28"/>
      <c r="D236" t="s">
        <v>100</v>
      </c>
      <c r="E236" t="s">
        <v>50</v>
      </c>
      <c r="F236">
        <v>1</v>
      </c>
      <c r="G236" s="29">
        <v>0.21</v>
      </c>
      <c r="H236" t="s">
        <v>30</v>
      </c>
      <c r="I236" s="30">
        <f>IFERROR(VLOOKUP(H236,CARTON_LOOKUP!$A:$E,3,0),"")</f>
      </c>
      <c r="J236" s="30">
        <f>IFERROR(VLOOKUP(H236,CARTON_LOOKUP!$A:$E,4,0),"")</f>
      </c>
      <c r="K236" s="30">
        <f>IFERROR(VLOOKUP(H236,CARTON_LOOKUP!$A:$E,5,0),"")</f>
      </c>
      <c r="L236" s="31">
        <f>IFERROR(VLOOKUP(H236,CARTON_LOOKUP!$A:$E,2,0),"")</f>
      </c>
      <c r="M236" t="s">
        <v>101</v>
      </c>
      <c r="N236" t="s">
        <v>102</v>
      </c>
      <c r="O236" t="s">
        <v>103</v>
      </c>
    </row>
    <row r="237" spans="1:16" x14ac:dyDescent="0.25">
      <c r="A237" s="14"/>
      <c r="B237" s="28"/>
      <c r="C237" s="28"/>
      <c r="D237" t="s">
        <v>100</v>
      </c>
      <c r="E237" t="s">
        <v>50</v>
      </c>
      <c r="F237">
        <v>1</v>
      </c>
      <c r="G237" s="29">
        <v>0.21</v>
      </c>
      <c r="H237" t="s">
        <v>30</v>
      </c>
      <c r="I237" s="30">
        <f>IFERROR(VLOOKUP(H237,CARTON_LOOKUP!$A:$E,3,0),"")</f>
      </c>
      <c r="J237" s="30">
        <f>IFERROR(VLOOKUP(H237,CARTON_LOOKUP!$A:$E,4,0),"")</f>
      </c>
      <c r="K237" s="30">
        <f>IFERROR(VLOOKUP(H237,CARTON_LOOKUP!$A:$E,5,0),"")</f>
      </c>
      <c r="L237" s="31">
        <f>IFERROR(VLOOKUP(H237,CARTON_LOOKUP!$A:$E,2,0),"")</f>
      </c>
      <c r="M237" t="s">
        <v>101</v>
      </c>
      <c r="N237" t="s">
        <v>102</v>
      </c>
      <c r="O237" t="s">
        <v>103</v>
      </c>
    </row>
    <row r="238" spans="1:16" x14ac:dyDescent="0.25">
      <c r="A238" s="14"/>
      <c r="B238" s="28"/>
      <c r="C238" s="28"/>
      <c r="D238" t="s">
        <v>100</v>
      </c>
      <c r="E238" t="s">
        <v>50</v>
      </c>
      <c r="F238">
        <v>1</v>
      </c>
      <c r="G238" s="29">
        <v>0.21</v>
      </c>
      <c r="H238" t="s">
        <v>30</v>
      </c>
      <c r="I238" s="30">
        <f>IFERROR(VLOOKUP(H238,CARTON_LOOKUP!$A:$E,3,0),"")</f>
      </c>
      <c r="J238" s="30">
        <f>IFERROR(VLOOKUP(H238,CARTON_LOOKUP!$A:$E,4,0),"")</f>
      </c>
      <c r="K238" s="30">
        <f>IFERROR(VLOOKUP(H238,CARTON_LOOKUP!$A:$E,5,0),"")</f>
      </c>
      <c r="L238" s="31">
        <f>IFERROR(VLOOKUP(H238,CARTON_LOOKUP!$A:$E,2,0),"")</f>
      </c>
      <c r="M238" t="s">
        <v>101</v>
      </c>
      <c r="N238" t="s">
        <v>102</v>
      </c>
      <c r="O238" t="s">
        <v>103</v>
      </c>
    </row>
    <row r="239" spans="1:16" x14ac:dyDescent="0.25">
      <c r="A239" s="14"/>
      <c r="B239" s="28"/>
      <c r="C239" s="28"/>
      <c r="D239" t="s">
        <v>100</v>
      </c>
      <c r="E239" t="s">
        <v>50</v>
      </c>
      <c r="F239">
        <v>1</v>
      </c>
      <c r="G239" s="29">
        <v>0.21</v>
      </c>
      <c r="H239" t="s">
        <v>30</v>
      </c>
      <c r="I239" s="30">
        <f>IFERROR(VLOOKUP(H239,CARTON_LOOKUP!$A:$E,3,0),"")</f>
      </c>
      <c r="J239" s="30">
        <f>IFERROR(VLOOKUP(H239,CARTON_LOOKUP!$A:$E,4,0),"")</f>
      </c>
      <c r="K239" s="30">
        <f>IFERROR(VLOOKUP(H239,CARTON_LOOKUP!$A:$E,5,0),"")</f>
      </c>
      <c r="L239" s="31">
        <f>IFERROR(VLOOKUP(H239,CARTON_LOOKUP!$A:$E,2,0),"")</f>
      </c>
      <c r="M239" t="s">
        <v>101</v>
      </c>
      <c r="N239" t="s">
        <v>102</v>
      </c>
      <c r="O239" t="s">
        <v>103</v>
      </c>
    </row>
    <row r="240" spans="1:16" x14ac:dyDescent="0.25">
      <c r="A240" s="14"/>
      <c r="B240" s="28"/>
      <c r="C240" s="28"/>
      <c r="D240" t="s">
        <v>100</v>
      </c>
      <c r="E240" t="s">
        <v>50</v>
      </c>
      <c r="F240">
        <v>1</v>
      </c>
      <c r="G240" s="29">
        <v>0.21</v>
      </c>
      <c r="H240" t="s">
        <v>30</v>
      </c>
      <c r="I240" s="30">
        <f>IFERROR(VLOOKUP(H240,CARTON_LOOKUP!$A:$E,3,0),"")</f>
      </c>
      <c r="J240" s="30">
        <f>IFERROR(VLOOKUP(H240,CARTON_LOOKUP!$A:$E,4,0),"")</f>
      </c>
      <c r="K240" s="30">
        <f>IFERROR(VLOOKUP(H240,CARTON_LOOKUP!$A:$E,5,0),"")</f>
      </c>
      <c r="L240" s="31">
        <f>IFERROR(VLOOKUP(H240,CARTON_LOOKUP!$A:$E,2,0),"")</f>
      </c>
      <c r="M240" t="s">
        <v>101</v>
      </c>
      <c r="N240" t="s">
        <v>102</v>
      </c>
      <c r="O240" t="s">
        <v>103</v>
      </c>
    </row>
    <row r="241" spans="1:16" x14ac:dyDescent="0.25">
      <c r="A241" s="14"/>
      <c r="B241" s="28"/>
      <c r="C241" s="28"/>
      <c r="D241" t="s">
        <v>100</v>
      </c>
      <c r="E241" t="s">
        <v>50</v>
      </c>
      <c r="F241">
        <v>1</v>
      </c>
      <c r="G241" s="29">
        <v>0.21</v>
      </c>
      <c r="H241" t="s">
        <v>30</v>
      </c>
      <c r="I241" s="30">
        <f>IFERROR(VLOOKUP(H241,CARTON_LOOKUP!$A:$E,3,0),"")</f>
      </c>
      <c r="J241" s="30">
        <f>IFERROR(VLOOKUP(H241,CARTON_LOOKUP!$A:$E,4,0),"")</f>
      </c>
      <c r="K241" s="30">
        <f>IFERROR(VLOOKUP(H241,CARTON_LOOKUP!$A:$E,5,0),"")</f>
      </c>
      <c r="L241" s="31">
        <f>IFERROR(VLOOKUP(H241,CARTON_LOOKUP!$A:$E,2,0),"")</f>
      </c>
      <c r="M241" t="s">
        <v>101</v>
      </c>
      <c r="N241" t="s">
        <v>102</v>
      </c>
      <c r="O241" t="s">
        <v>103</v>
      </c>
    </row>
    <row r="242" spans="1:16" x14ac:dyDescent="0.25">
      <c r="A242" s="14"/>
      <c r="B242" s="28"/>
      <c r="C242" s="28"/>
      <c r="D242" t="s">
        <v>100</v>
      </c>
      <c r="E242" t="s">
        <v>50</v>
      </c>
      <c r="F242">
        <v>1</v>
      </c>
      <c r="G242" s="29">
        <v>0.21</v>
      </c>
      <c r="H242" t="s">
        <v>30</v>
      </c>
      <c r="I242" s="30">
        <f>IFERROR(VLOOKUP(H242,CARTON_LOOKUP!$A:$E,3,0),"")</f>
      </c>
      <c r="J242" s="30">
        <f>IFERROR(VLOOKUP(H242,CARTON_LOOKUP!$A:$E,4,0),"")</f>
      </c>
      <c r="K242" s="30">
        <f>IFERROR(VLOOKUP(H242,CARTON_LOOKUP!$A:$E,5,0),"")</f>
      </c>
      <c r="L242" s="31">
        <f>IFERROR(VLOOKUP(H242,CARTON_LOOKUP!$A:$E,2,0),"")</f>
      </c>
      <c r="M242" t="s">
        <v>101</v>
      </c>
      <c r="N242" t="s">
        <v>102</v>
      </c>
      <c r="O242" t="s">
        <v>103</v>
      </c>
    </row>
    <row r="243" spans="1:16" x14ac:dyDescent="0.25">
      <c r="A243" s="14"/>
      <c r="B243" s="28"/>
      <c r="C243" s="28"/>
      <c r="D243" t="s">
        <v>100</v>
      </c>
      <c r="E243" t="s">
        <v>50</v>
      </c>
      <c r="F243">
        <v>1</v>
      </c>
      <c r="G243" s="29">
        <v>0.21</v>
      </c>
      <c r="H243" t="s">
        <v>30</v>
      </c>
      <c r="I243" s="30">
        <f>IFERROR(VLOOKUP(H243,CARTON_LOOKUP!$A:$E,3,0),"")</f>
      </c>
      <c r="J243" s="30">
        <f>IFERROR(VLOOKUP(H243,CARTON_LOOKUP!$A:$E,4,0),"")</f>
      </c>
      <c r="K243" s="30">
        <f>IFERROR(VLOOKUP(H243,CARTON_LOOKUP!$A:$E,5,0),"")</f>
      </c>
      <c r="L243" s="31">
        <f>IFERROR(VLOOKUP(H243,CARTON_LOOKUP!$A:$E,2,0),"")</f>
      </c>
      <c r="M243" t="s">
        <v>101</v>
      </c>
      <c r="N243" t="s">
        <v>102</v>
      </c>
      <c r="O243" t="s">
        <v>103</v>
      </c>
    </row>
    <row r="244" spans="1:16" x14ac:dyDescent="0.25">
      <c r="A244" s="14"/>
      <c r="B244" s="28"/>
      <c r="C244" s="28"/>
      <c r="D244" t="s">
        <v>100</v>
      </c>
      <c r="E244" t="s">
        <v>50</v>
      </c>
      <c r="F244">
        <v>1</v>
      </c>
      <c r="G244" s="29">
        <v>0.21</v>
      </c>
      <c r="H244" t="s">
        <v>30</v>
      </c>
      <c r="I244" s="30">
        <f>IFERROR(VLOOKUP(H244,CARTON_LOOKUP!$A:$E,3,0),"")</f>
      </c>
      <c r="J244" s="30">
        <f>IFERROR(VLOOKUP(H244,CARTON_LOOKUP!$A:$E,4,0),"")</f>
      </c>
      <c r="K244" s="30">
        <f>IFERROR(VLOOKUP(H244,CARTON_LOOKUP!$A:$E,5,0),"")</f>
      </c>
      <c r="L244" s="31">
        <f>IFERROR(VLOOKUP(H244,CARTON_LOOKUP!$A:$E,2,0),"")</f>
      </c>
      <c r="M244" t="s">
        <v>101</v>
      </c>
      <c r="N244" t="s">
        <v>102</v>
      </c>
      <c r="O244" t="s">
        <v>103</v>
      </c>
    </row>
    <row r="245" spans="1:16" x14ac:dyDescent="0.25">
      <c r="A245" s="14"/>
      <c r="B245" s="28"/>
      <c r="C245" s="28"/>
      <c r="D245" t="s">
        <v>100</v>
      </c>
      <c r="E245" t="s">
        <v>50</v>
      </c>
      <c r="F245">
        <v>1</v>
      </c>
      <c r="G245" s="29">
        <v>0.21</v>
      </c>
      <c r="H245" t="s">
        <v>30</v>
      </c>
      <c r="I245" s="30">
        <f>IFERROR(VLOOKUP(H245,CARTON_LOOKUP!$A:$E,3,0),"")</f>
      </c>
      <c r="J245" s="30">
        <f>IFERROR(VLOOKUP(H245,CARTON_LOOKUP!$A:$E,4,0),"")</f>
      </c>
      <c r="K245" s="30">
        <f>IFERROR(VLOOKUP(H245,CARTON_LOOKUP!$A:$E,5,0),"")</f>
      </c>
      <c r="L245" s="31">
        <f>IFERROR(VLOOKUP(H245,CARTON_LOOKUP!$A:$E,2,0),"")</f>
      </c>
      <c r="M245" t="s">
        <v>101</v>
      </c>
      <c r="N245" t="s">
        <v>102</v>
      </c>
      <c r="O245" t="s">
        <v>103</v>
      </c>
    </row>
    <row r="246" spans="1:16" x14ac:dyDescent="0.25">
      <c r="A246" s="14"/>
      <c r="B246" s="28"/>
      <c r="C246" s="28"/>
      <c r="D246" t="s">
        <v>100</v>
      </c>
      <c r="E246" t="s">
        <v>50</v>
      </c>
      <c r="F246">
        <v>1</v>
      </c>
      <c r="G246" s="29">
        <v>0.21</v>
      </c>
      <c r="H246" t="s">
        <v>30</v>
      </c>
      <c r="I246" s="30">
        <f>IFERROR(VLOOKUP(H246,CARTON_LOOKUP!$A:$E,3,0),"")</f>
      </c>
      <c r="J246" s="30">
        <f>IFERROR(VLOOKUP(H246,CARTON_LOOKUP!$A:$E,4,0),"")</f>
      </c>
      <c r="K246" s="30">
        <f>IFERROR(VLOOKUP(H246,CARTON_LOOKUP!$A:$E,5,0),"")</f>
      </c>
      <c r="L246" s="31">
        <f>IFERROR(VLOOKUP(H246,CARTON_LOOKUP!$A:$E,2,0),"")</f>
      </c>
      <c r="M246" t="s">
        <v>101</v>
      </c>
      <c r="N246" t="s">
        <v>102</v>
      </c>
      <c r="O246" t="s">
        <v>103</v>
      </c>
    </row>
    <row r="247" spans="1:16" x14ac:dyDescent="0.25">
      <c r="A247" s="14"/>
      <c r="B247" s="28"/>
      <c r="C247" s="28"/>
      <c r="D247" t="s">
        <v>100</v>
      </c>
      <c r="E247" t="s">
        <v>50</v>
      </c>
      <c r="F247">
        <v>1</v>
      </c>
      <c r="G247" s="29">
        <v>0.21</v>
      </c>
      <c r="H247" t="s">
        <v>30</v>
      </c>
      <c r="I247" s="30">
        <f>IFERROR(VLOOKUP(H247,CARTON_LOOKUP!$A:$E,3,0),"")</f>
      </c>
      <c r="J247" s="30">
        <f>IFERROR(VLOOKUP(H247,CARTON_LOOKUP!$A:$E,4,0),"")</f>
      </c>
      <c r="K247" s="30">
        <f>IFERROR(VLOOKUP(H247,CARTON_LOOKUP!$A:$E,5,0),"")</f>
      </c>
      <c r="L247" s="31">
        <f>IFERROR(VLOOKUP(H247,CARTON_LOOKUP!$A:$E,2,0),"")</f>
      </c>
      <c r="M247" t="s">
        <v>101</v>
      </c>
      <c r="N247" t="s">
        <v>102</v>
      </c>
      <c r="O247" t="s">
        <v>103</v>
      </c>
    </row>
    <row r="248" spans="1:16" x14ac:dyDescent="0.25">
      <c r="A248" s="14"/>
      <c r="B248" s="28"/>
      <c r="C248" s="28"/>
      <c r="D248" t="s">
        <v>100</v>
      </c>
      <c r="E248" t="s">
        <v>50</v>
      </c>
      <c r="F248">
        <v>1</v>
      </c>
      <c r="G248" s="29">
        <v>0.21</v>
      </c>
      <c r="H248" t="s">
        <v>30</v>
      </c>
      <c r="I248" s="30">
        <f>IFERROR(VLOOKUP(H248,CARTON_LOOKUP!$A:$E,3,0),"")</f>
      </c>
      <c r="J248" s="30">
        <f>IFERROR(VLOOKUP(H248,CARTON_LOOKUP!$A:$E,4,0),"")</f>
      </c>
      <c r="K248" s="30">
        <f>IFERROR(VLOOKUP(H248,CARTON_LOOKUP!$A:$E,5,0),"")</f>
      </c>
      <c r="L248" s="31">
        <f>IFERROR(VLOOKUP(H248,CARTON_LOOKUP!$A:$E,2,0),"")</f>
      </c>
      <c r="M248" t="s">
        <v>101</v>
      </c>
      <c r="N248" t="s">
        <v>102</v>
      </c>
      <c r="O248" t="s">
        <v>103</v>
      </c>
    </row>
    <row r="249" spans="1:16" x14ac:dyDescent="0.25">
      <c r="A249" s="14"/>
      <c r="B249" s="28"/>
      <c r="C249" s="28"/>
      <c r="D249" t="s">
        <v>100</v>
      </c>
      <c r="E249" t="s">
        <v>50</v>
      </c>
      <c r="F249">
        <v>1</v>
      </c>
      <c r="G249" s="29">
        <v>0.21</v>
      </c>
      <c r="H249" t="s">
        <v>30</v>
      </c>
      <c r="I249" s="30">
        <f>IFERROR(VLOOKUP(H249,CARTON_LOOKUP!$A:$E,3,0),"")</f>
      </c>
      <c r="J249" s="30">
        <f>IFERROR(VLOOKUP(H249,CARTON_LOOKUP!$A:$E,4,0),"")</f>
      </c>
      <c r="K249" s="30">
        <f>IFERROR(VLOOKUP(H249,CARTON_LOOKUP!$A:$E,5,0),"")</f>
      </c>
      <c r="L249" s="31">
        <f>IFERROR(VLOOKUP(H249,CARTON_LOOKUP!$A:$E,2,0),"")</f>
      </c>
      <c r="M249" t="s">
        <v>101</v>
      </c>
      <c r="N249" t="s">
        <v>102</v>
      </c>
      <c r="O249" t="s">
        <v>103</v>
      </c>
    </row>
    <row r="250" spans="1:16" x14ac:dyDescent="0.25">
      <c r="A250" s="14"/>
      <c r="B250" s="28"/>
      <c r="C250" s="28"/>
      <c r="D250" t="s">
        <v>100</v>
      </c>
      <c r="E250" t="s">
        <v>50</v>
      </c>
      <c r="F250">
        <v>1</v>
      </c>
      <c r="G250" s="29">
        <v>0.21</v>
      </c>
      <c r="H250" t="s">
        <v>30</v>
      </c>
      <c r="I250" s="30">
        <f>IFERROR(VLOOKUP(H250,CARTON_LOOKUP!$A:$E,3,0),"")</f>
      </c>
      <c r="J250" s="30">
        <f>IFERROR(VLOOKUP(H250,CARTON_LOOKUP!$A:$E,4,0),"")</f>
      </c>
      <c r="K250" s="30">
        <f>IFERROR(VLOOKUP(H250,CARTON_LOOKUP!$A:$E,5,0),"")</f>
      </c>
      <c r="L250" s="31">
        <f>IFERROR(VLOOKUP(H250,CARTON_LOOKUP!$A:$E,2,0),"")</f>
      </c>
      <c r="M250" t="s">
        <v>101</v>
      </c>
      <c r="N250" t="s">
        <v>102</v>
      </c>
      <c r="O250" t="s">
        <v>103</v>
      </c>
    </row>
    <row r="251" spans="1:16" x14ac:dyDescent="0.25">
      <c r="A251" s="14"/>
      <c r="B251" s="28"/>
      <c r="C251" s="28"/>
      <c r="D251" t="s">
        <v>100</v>
      </c>
      <c r="E251" t="s">
        <v>50</v>
      </c>
      <c r="F251">
        <v>1</v>
      </c>
      <c r="G251" s="29">
        <v>0.21</v>
      </c>
      <c r="H251" t="s">
        <v>30</v>
      </c>
      <c r="I251" s="30">
        <f>IFERROR(VLOOKUP(H251,CARTON_LOOKUP!$A:$E,3,0),"")</f>
      </c>
      <c r="J251" s="30">
        <f>IFERROR(VLOOKUP(H251,CARTON_LOOKUP!$A:$E,4,0),"")</f>
      </c>
      <c r="K251" s="30">
        <f>IFERROR(VLOOKUP(H251,CARTON_LOOKUP!$A:$E,5,0),"")</f>
      </c>
      <c r="L251" s="31">
        <f>IFERROR(VLOOKUP(H251,CARTON_LOOKUP!$A:$E,2,0),"")</f>
      </c>
      <c r="M251" t="s">
        <v>101</v>
      </c>
      <c r="N251" t="s">
        <v>102</v>
      </c>
      <c r="O251" t="s">
        <v>103</v>
      </c>
    </row>
    <row r="252" spans="1:16" x14ac:dyDescent="0.25">
      <c r="A252" s="14"/>
      <c r="B252" s="28"/>
      <c r="C252" s="28"/>
      <c r="D252" t="s">
        <v>100</v>
      </c>
      <c r="E252" t="s">
        <v>50</v>
      </c>
      <c r="F252">
        <v>1</v>
      </c>
      <c r="G252" s="29">
        <v>0.21</v>
      </c>
      <c r="H252" t="s">
        <v>30</v>
      </c>
      <c r="I252" s="30">
        <f>IFERROR(VLOOKUP(H252,CARTON_LOOKUP!$A:$E,3,0),"")</f>
      </c>
      <c r="J252" s="30">
        <f>IFERROR(VLOOKUP(H252,CARTON_LOOKUP!$A:$E,4,0),"")</f>
      </c>
      <c r="K252" s="30">
        <f>IFERROR(VLOOKUP(H252,CARTON_LOOKUP!$A:$E,5,0),"")</f>
      </c>
      <c r="L252" s="31">
        <f>IFERROR(VLOOKUP(H252,CARTON_LOOKUP!$A:$E,2,0),"")</f>
      </c>
      <c r="M252" t="s">
        <v>101</v>
      </c>
      <c r="N252" t="s">
        <v>102</v>
      </c>
      <c r="O252" t="s">
        <v>103</v>
      </c>
    </row>
    <row r="253" spans="1:16" x14ac:dyDescent="0.25">
      <c r="A253" s="14"/>
      <c r="B253" s="28"/>
      <c r="C253" s="28"/>
      <c r="D253" t="s">
        <v>100</v>
      </c>
      <c r="E253" t="s">
        <v>50</v>
      </c>
      <c r="F253">
        <v>1</v>
      </c>
      <c r="G253" s="29">
        <v>0.21</v>
      </c>
      <c r="H253" t="s">
        <v>30</v>
      </c>
      <c r="I253" s="30">
        <f>IFERROR(VLOOKUP(H253,CARTON_LOOKUP!$A:$E,3,0),"")</f>
      </c>
      <c r="J253" s="30">
        <f>IFERROR(VLOOKUP(H253,CARTON_LOOKUP!$A:$E,4,0),"")</f>
      </c>
      <c r="K253" s="30">
        <f>IFERROR(VLOOKUP(H253,CARTON_LOOKUP!$A:$E,5,0),"")</f>
      </c>
      <c r="L253" s="31">
        <f>IFERROR(VLOOKUP(H253,CARTON_LOOKUP!$A:$E,2,0),"")</f>
      </c>
      <c r="M253" t="s">
        <v>101</v>
      </c>
      <c r="N253" t="s">
        <v>102</v>
      </c>
      <c r="O253" t="s">
        <v>103</v>
      </c>
    </row>
    <row r="254" spans="1:16" x14ac:dyDescent="0.25">
      <c r="A254" s="14"/>
      <c r="B254" s="28"/>
      <c r="C254" s="28"/>
      <c r="D254" t="s">
        <v>100</v>
      </c>
      <c r="E254" t="s">
        <v>50</v>
      </c>
      <c r="F254">
        <v>1</v>
      </c>
      <c r="G254" s="29">
        <v>0.21</v>
      </c>
      <c r="H254" t="s">
        <v>30</v>
      </c>
      <c r="I254" s="30">
        <f>IFERROR(VLOOKUP(H254,CARTON_LOOKUP!$A:$E,3,0),"")</f>
      </c>
      <c r="J254" s="30">
        <f>IFERROR(VLOOKUP(H254,CARTON_LOOKUP!$A:$E,4,0),"")</f>
      </c>
      <c r="K254" s="30">
        <f>IFERROR(VLOOKUP(H254,CARTON_LOOKUP!$A:$E,5,0),"")</f>
      </c>
      <c r="L254" s="31">
        <f>IFERROR(VLOOKUP(H254,CARTON_LOOKUP!$A:$E,2,0),"")</f>
      </c>
      <c r="M254" t="s">
        <v>101</v>
      </c>
      <c r="N254" t="s">
        <v>102</v>
      </c>
      <c r="O254" t="s">
        <v>103</v>
      </c>
    </row>
    <row r="255" spans="1:16" x14ac:dyDescent="0.25">
      <c r="A255" s="14"/>
      <c r="B255" s="28"/>
      <c r="C255" s="28"/>
      <c r="D255" t="s">
        <v>100</v>
      </c>
      <c r="E255" t="s">
        <v>50</v>
      </c>
      <c r="F255">
        <v>1</v>
      </c>
      <c r="G255" s="29">
        <v>0.21</v>
      </c>
      <c r="H255" t="s">
        <v>30</v>
      </c>
      <c r="I255" s="30">
        <f>IFERROR(VLOOKUP(H255,CARTON_LOOKUP!$A:$E,3,0),"")</f>
      </c>
      <c r="J255" s="30">
        <f>IFERROR(VLOOKUP(H255,CARTON_LOOKUP!$A:$E,4,0),"")</f>
      </c>
      <c r="K255" s="30">
        <f>IFERROR(VLOOKUP(H255,CARTON_LOOKUP!$A:$E,5,0),"")</f>
      </c>
      <c r="L255" s="31">
        <f>IFERROR(VLOOKUP(H255,CARTON_LOOKUP!$A:$E,2,0),"")</f>
      </c>
      <c r="M255" t="s">
        <v>101</v>
      </c>
      <c r="N255" t="s">
        <v>102</v>
      </c>
      <c r="O255" t="s">
        <v>103</v>
      </c>
    </row>
    <row r="256" spans="1:16" x14ac:dyDescent="0.25">
      <c r="A256" s="14"/>
      <c r="B256" s="28"/>
      <c r="C256" s="28"/>
      <c r="D256" t="s">
        <v>100</v>
      </c>
      <c r="E256" t="s">
        <v>50</v>
      </c>
      <c r="F256">
        <v>1</v>
      </c>
      <c r="G256" s="29">
        <v>0.21</v>
      </c>
      <c r="H256" t="s">
        <v>30</v>
      </c>
      <c r="I256" s="30">
        <f>IFERROR(VLOOKUP(H256,CARTON_LOOKUP!$A:$E,3,0),"")</f>
      </c>
      <c r="J256" s="30">
        <f>IFERROR(VLOOKUP(H256,CARTON_LOOKUP!$A:$E,4,0),"")</f>
      </c>
      <c r="K256" s="30">
        <f>IFERROR(VLOOKUP(H256,CARTON_LOOKUP!$A:$E,5,0),"")</f>
      </c>
      <c r="L256" s="31">
        <f>IFERROR(VLOOKUP(H256,CARTON_LOOKUP!$A:$E,2,0),"")</f>
      </c>
      <c r="M256" t="s">
        <v>101</v>
      </c>
      <c r="N256" t="s">
        <v>102</v>
      </c>
      <c r="O256" t="s">
        <v>103</v>
      </c>
    </row>
    <row r="257" spans="1:16" x14ac:dyDescent="0.25">
      <c r="A257" s="14"/>
      <c r="B257" s="28"/>
      <c r="C257" s="28"/>
      <c r="D257" t="s">
        <v>100</v>
      </c>
      <c r="E257" t="s">
        <v>50</v>
      </c>
      <c r="F257">
        <v>1</v>
      </c>
      <c r="G257" s="29">
        <v>0.21</v>
      </c>
      <c r="H257" t="s">
        <v>30</v>
      </c>
      <c r="I257" s="30">
        <f>IFERROR(VLOOKUP(H257,CARTON_LOOKUP!$A:$E,3,0),"")</f>
      </c>
      <c r="J257" s="30">
        <f>IFERROR(VLOOKUP(H257,CARTON_LOOKUP!$A:$E,4,0),"")</f>
      </c>
      <c r="K257" s="30">
        <f>IFERROR(VLOOKUP(H257,CARTON_LOOKUP!$A:$E,5,0),"")</f>
      </c>
      <c r="L257" s="31">
        <f>IFERROR(VLOOKUP(H257,CARTON_LOOKUP!$A:$E,2,0),"")</f>
      </c>
      <c r="M257" t="s">
        <v>101</v>
      </c>
      <c r="N257" t="s">
        <v>102</v>
      </c>
      <c r="O257" t="s">
        <v>103</v>
      </c>
    </row>
    <row r="258" spans="1:16" x14ac:dyDescent="0.25">
      <c r="A258" s="14"/>
      <c r="B258" s="28"/>
      <c r="C258" s="28"/>
      <c r="D258" t="s">
        <v>100</v>
      </c>
      <c r="E258" t="s">
        <v>50</v>
      </c>
      <c r="F258">
        <v>1</v>
      </c>
      <c r="G258" s="29">
        <v>0.21</v>
      </c>
      <c r="H258" t="s">
        <v>30</v>
      </c>
      <c r="I258" s="30">
        <f>IFERROR(VLOOKUP(H258,CARTON_LOOKUP!$A:$E,3,0),"")</f>
      </c>
      <c r="J258" s="30">
        <f>IFERROR(VLOOKUP(H258,CARTON_LOOKUP!$A:$E,4,0),"")</f>
      </c>
      <c r="K258" s="30">
        <f>IFERROR(VLOOKUP(H258,CARTON_LOOKUP!$A:$E,5,0),"")</f>
      </c>
      <c r="L258" s="31">
        <f>IFERROR(VLOOKUP(H258,CARTON_LOOKUP!$A:$E,2,0),"")</f>
      </c>
      <c r="M258" t="s">
        <v>101</v>
      </c>
      <c r="N258" t="s">
        <v>102</v>
      </c>
      <c r="O258" t="s">
        <v>103</v>
      </c>
    </row>
    <row r="259" spans="1:16" x14ac:dyDescent="0.25">
      <c r="A259" s="14"/>
      <c r="B259" s="28"/>
      <c r="C259" s="28"/>
      <c r="D259" t="s">
        <v>100</v>
      </c>
      <c r="E259" t="s">
        <v>50</v>
      </c>
      <c r="F259">
        <v>1</v>
      </c>
      <c r="G259" s="29">
        <v>0.21</v>
      </c>
      <c r="H259" t="s">
        <v>30</v>
      </c>
      <c r="I259" s="30">
        <f>IFERROR(VLOOKUP(H259,CARTON_LOOKUP!$A:$E,3,0),"")</f>
      </c>
      <c r="J259" s="30">
        <f>IFERROR(VLOOKUP(H259,CARTON_LOOKUP!$A:$E,4,0),"")</f>
      </c>
      <c r="K259" s="30">
        <f>IFERROR(VLOOKUP(H259,CARTON_LOOKUP!$A:$E,5,0),"")</f>
      </c>
      <c r="L259" s="31">
        <f>IFERROR(VLOOKUP(H259,CARTON_LOOKUP!$A:$E,2,0),"")</f>
      </c>
      <c r="M259" t="s">
        <v>101</v>
      </c>
      <c r="N259" t="s">
        <v>102</v>
      </c>
      <c r="O259" t="s">
        <v>103</v>
      </c>
    </row>
    <row r="260" spans="1:16" x14ac:dyDescent="0.25">
      <c r="A260" s="14"/>
      <c r="B260" s="28"/>
      <c r="C260" s="28"/>
      <c r="D260" t="s">
        <v>100</v>
      </c>
      <c r="E260" t="s">
        <v>50</v>
      </c>
      <c r="F260">
        <v>1</v>
      </c>
      <c r="G260" s="29">
        <v>0.21</v>
      </c>
      <c r="H260" t="s">
        <v>30</v>
      </c>
      <c r="I260" s="30">
        <f>IFERROR(VLOOKUP(H260,CARTON_LOOKUP!$A:$E,3,0),"")</f>
      </c>
      <c r="J260" s="30">
        <f>IFERROR(VLOOKUP(H260,CARTON_LOOKUP!$A:$E,4,0),"")</f>
      </c>
      <c r="K260" s="30">
        <f>IFERROR(VLOOKUP(H260,CARTON_LOOKUP!$A:$E,5,0),"")</f>
      </c>
      <c r="L260" s="31">
        <f>IFERROR(VLOOKUP(H260,CARTON_LOOKUP!$A:$E,2,0),"")</f>
      </c>
      <c r="M260" t="s">
        <v>101</v>
      </c>
      <c r="N260" t="s">
        <v>102</v>
      </c>
      <c r="O260" t="s">
        <v>103</v>
      </c>
    </row>
    <row r="261" spans="1:16" x14ac:dyDescent="0.25">
      <c r="A261" s="14"/>
      <c r="B261" s="28"/>
      <c r="C261" s="28"/>
      <c r="D261" t="s">
        <v>100</v>
      </c>
      <c r="E261" t="s">
        <v>50</v>
      </c>
      <c r="F261">
        <v>1</v>
      </c>
      <c r="G261" s="29">
        <v>0.21</v>
      </c>
      <c r="H261" t="s">
        <v>30</v>
      </c>
      <c r="I261" s="30">
        <f>IFERROR(VLOOKUP(H261,CARTON_LOOKUP!$A:$E,3,0),"")</f>
      </c>
      <c r="J261" s="30">
        <f>IFERROR(VLOOKUP(H261,CARTON_LOOKUP!$A:$E,4,0),"")</f>
      </c>
      <c r="K261" s="30">
        <f>IFERROR(VLOOKUP(H261,CARTON_LOOKUP!$A:$E,5,0),"")</f>
      </c>
      <c r="L261" s="31">
        <f>IFERROR(VLOOKUP(H261,CARTON_LOOKUP!$A:$E,2,0),"")</f>
      </c>
      <c r="M261" t="s">
        <v>101</v>
      </c>
      <c r="N261" t="s">
        <v>102</v>
      </c>
      <c r="O261" t="s">
        <v>103</v>
      </c>
    </row>
    <row r="262" spans="1:16" x14ac:dyDescent="0.25">
      <c r="A262" s="14"/>
      <c r="B262" s="28"/>
      <c r="C262" s="28"/>
      <c r="D262" t="s">
        <v>100</v>
      </c>
      <c r="E262" t="s">
        <v>50</v>
      </c>
      <c r="F262">
        <v>1</v>
      </c>
      <c r="G262" s="29">
        <v>0.21</v>
      </c>
      <c r="H262" t="s">
        <v>30</v>
      </c>
      <c r="I262" s="30">
        <f>IFERROR(VLOOKUP(H262,CARTON_LOOKUP!$A:$E,3,0),"")</f>
      </c>
      <c r="J262" s="30">
        <f>IFERROR(VLOOKUP(H262,CARTON_LOOKUP!$A:$E,4,0),"")</f>
      </c>
      <c r="K262" s="30">
        <f>IFERROR(VLOOKUP(H262,CARTON_LOOKUP!$A:$E,5,0),"")</f>
      </c>
      <c r="L262" s="31">
        <f>IFERROR(VLOOKUP(H262,CARTON_LOOKUP!$A:$E,2,0),"")</f>
      </c>
      <c r="M262" t="s">
        <v>101</v>
      </c>
      <c r="N262" t="s">
        <v>102</v>
      </c>
      <c r="O262" t="s">
        <v>103</v>
      </c>
    </row>
    <row r="263" spans="1:16" x14ac:dyDescent="0.25">
      <c r="A263" s="14"/>
      <c r="B263" s="28"/>
      <c r="C263" s="28"/>
      <c r="D263" t="s">
        <v>100</v>
      </c>
      <c r="E263" t="s">
        <v>50</v>
      </c>
      <c r="F263">
        <v>1</v>
      </c>
      <c r="G263" s="29">
        <v>0.21</v>
      </c>
      <c r="H263" t="s">
        <v>30</v>
      </c>
      <c r="I263" s="30">
        <f>IFERROR(VLOOKUP(H263,CARTON_LOOKUP!$A:$E,3,0),"")</f>
      </c>
      <c r="J263" s="30">
        <f>IFERROR(VLOOKUP(H263,CARTON_LOOKUP!$A:$E,4,0),"")</f>
      </c>
      <c r="K263" s="30">
        <f>IFERROR(VLOOKUP(H263,CARTON_LOOKUP!$A:$E,5,0),"")</f>
      </c>
      <c r="L263" s="31">
        <f>IFERROR(VLOOKUP(H263,CARTON_LOOKUP!$A:$E,2,0),"")</f>
      </c>
      <c r="M263" t="s">
        <v>101</v>
      </c>
      <c r="N263" t="s">
        <v>102</v>
      </c>
      <c r="O263" t="s">
        <v>103</v>
      </c>
    </row>
    <row r="264" spans="1:16" x14ac:dyDescent="0.25">
      <c r="A264" s="14"/>
      <c r="B264" s="28"/>
      <c r="C264" s="28"/>
      <c r="D264" t="s">
        <v>100</v>
      </c>
      <c r="E264" t="s">
        <v>50</v>
      </c>
      <c r="F264">
        <v>1</v>
      </c>
      <c r="G264" s="29">
        <v>0.21</v>
      </c>
      <c r="H264" t="s">
        <v>30</v>
      </c>
      <c r="I264" s="30">
        <f>IFERROR(VLOOKUP(H264,CARTON_LOOKUP!$A:$E,3,0),"")</f>
      </c>
      <c r="J264" s="30">
        <f>IFERROR(VLOOKUP(H264,CARTON_LOOKUP!$A:$E,4,0),"")</f>
      </c>
      <c r="K264" s="30">
        <f>IFERROR(VLOOKUP(H264,CARTON_LOOKUP!$A:$E,5,0),"")</f>
      </c>
      <c r="L264" s="31">
        <f>IFERROR(VLOOKUP(H264,CARTON_LOOKUP!$A:$E,2,0),"")</f>
      </c>
      <c r="M264" t="s">
        <v>101</v>
      </c>
      <c r="N264" t="s">
        <v>102</v>
      </c>
      <c r="O264" t="s">
        <v>103</v>
      </c>
    </row>
    <row r="265" spans="1:16" x14ac:dyDescent="0.25">
      <c r="A265" s="14"/>
      <c r="B265" s="28"/>
      <c r="C265" s="28"/>
      <c r="D265" t="s">
        <v>100</v>
      </c>
      <c r="E265" t="s">
        <v>50</v>
      </c>
      <c r="F265">
        <v>1</v>
      </c>
      <c r="G265" s="29">
        <v>0.21</v>
      </c>
      <c r="H265" t="s">
        <v>30</v>
      </c>
      <c r="I265" s="30">
        <f>IFERROR(VLOOKUP(H265,CARTON_LOOKUP!$A:$E,3,0),"")</f>
      </c>
      <c r="J265" s="30">
        <f>IFERROR(VLOOKUP(H265,CARTON_LOOKUP!$A:$E,4,0),"")</f>
      </c>
      <c r="K265" s="30">
        <f>IFERROR(VLOOKUP(H265,CARTON_LOOKUP!$A:$E,5,0),"")</f>
      </c>
      <c r="L265" s="31">
        <f>IFERROR(VLOOKUP(H265,CARTON_LOOKUP!$A:$E,2,0),"")</f>
      </c>
      <c r="M265" t="s">
        <v>101</v>
      </c>
      <c r="N265" t="s">
        <v>102</v>
      </c>
      <c r="O265" t="s">
        <v>103</v>
      </c>
    </row>
    <row r="266" spans="1:16" x14ac:dyDescent="0.25">
      <c r="A266" s="14"/>
      <c r="B266" s="28"/>
      <c r="C266" s="28"/>
      <c r="D266" t="s">
        <v>100</v>
      </c>
      <c r="E266" t="s">
        <v>50</v>
      </c>
      <c r="F266">
        <v>1</v>
      </c>
      <c r="G266" s="29">
        <v>0.21</v>
      </c>
      <c r="H266" t="s">
        <v>30</v>
      </c>
      <c r="I266" s="30">
        <f>IFERROR(VLOOKUP(H266,CARTON_LOOKUP!$A:$E,3,0),"")</f>
      </c>
      <c r="J266" s="30">
        <f>IFERROR(VLOOKUP(H266,CARTON_LOOKUP!$A:$E,4,0),"")</f>
      </c>
      <c r="K266" s="30">
        <f>IFERROR(VLOOKUP(H266,CARTON_LOOKUP!$A:$E,5,0),"")</f>
      </c>
      <c r="L266" s="31">
        <f>IFERROR(VLOOKUP(H266,CARTON_LOOKUP!$A:$E,2,0),"")</f>
      </c>
      <c r="M266" t="s">
        <v>101</v>
      </c>
      <c r="N266" t="s">
        <v>102</v>
      </c>
      <c r="O266" t="s">
        <v>103</v>
      </c>
    </row>
    <row r="267" spans="1:16" x14ac:dyDescent="0.25">
      <c r="A267" s="14"/>
      <c r="B267" s="28"/>
      <c r="C267" s="28"/>
      <c r="D267" t="s">
        <v>100</v>
      </c>
      <c r="E267" t="s">
        <v>50</v>
      </c>
      <c r="F267">
        <v>1</v>
      </c>
      <c r="G267" s="29">
        <v>0.21</v>
      </c>
      <c r="H267" t="s">
        <v>30</v>
      </c>
      <c r="I267" s="30">
        <f>IFERROR(VLOOKUP(H267,CARTON_LOOKUP!$A:$E,3,0),"")</f>
      </c>
      <c r="J267" s="30">
        <f>IFERROR(VLOOKUP(H267,CARTON_LOOKUP!$A:$E,4,0),"")</f>
      </c>
      <c r="K267" s="30">
        <f>IFERROR(VLOOKUP(H267,CARTON_LOOKUP!$A:$E,5,0),"")</f>
      </c>
      <c r="L267" s="31">
        <f>IFERROR(VLOOKUP(H267,CARTON_LOOKUP!$A:$E,2,0),"")</f>
      </c>
      <c r="M267" t="s">
        <v>101</v>
      </c>
      <c r="N267" t="s">
        <v>102</v>
      </c>
      <c r="O267" t="s">
        <v>103</v>
      </c>
    </row>
    <row r="268" spans="1:16" x14ac:dyDescent="0.25">
      <c r="A268" s="14"/>
      <c r="B268" s="28"/>
      <c r="C268" s="28"/>
      <c r="D268" t="s">
        <v>100</v>
      </c>
      <c r="E268" t="s">
        <v>50</v>
      </c>
      <c r="F268">
        <v>1</v>
      </c>
      <c r="G268" s="29">
        <v>0.21</v>
      </c>
      <c r="H268" t="s">
        <v>30</v>
      </c>
      <c r="I268" s="30">
        <f>IFERROR(VLOOKUP(H268,CARTON_LOOKUP!$A:$E,3,0),"")</f>
      </c>
      <c r="J268" s="30">
        <f>IFERROR(VLOOKUP(H268,CARTON_LOOKUP!$A:$E,4,0),"")</f>
      </c>
      <c r="K268" s="30">
        <f>IFERROR(VLOOKUP(H268,CARTON_LOOKUP!$A:$E,5,0),"")</f>
      </c>
      <c r="L268" s="31">
        <f>IFERROR(VLOOKUP(H268,CARTON_LOOKUP!$A:$E,2,0),"")</f>
      </c>
      <c r="M268" t="s">
        <v>101</v>
      </c>
      <c r="N268" t="s">
        <v>102</v>
      </c>
      <c r="O268" t="s">
        <v>103</v>
      </c>
    </row>
    <row r="269" spans="1:16" x14ac:dyDescent="0.25">
      <c r="A269" s="14"/>
      <c r="B269" s="28"/>
      <c r="C269" s="28"/>
      <c r="D269" t="s">
        <v>100</v>
      </c>
      <c r="E269" t="s">
        <v>50</v>
      </c>
      <c r="F269">
        <v>1</v>
      </c>
      <c r="G269" s="29">
        <v>0.21</v>
      </c>
      <c r="H269" t="s">
        <v>30</v>
      </c>
      <c r="I269" s="30">
        <f>IFERROR(VLOOKUP(H269,CARTON_LOOKUP!$A:$E,3,0),"")</f>
      </c>
      <c r="J269" s="30">
        <f>IFERROR(VLOOKUP(H269,CARTON_LOOKUP!$A:$E,4,0),"")</f>
      </c>
      <c r="K269" s="30">
        <f>IFERROR(VLOOKUP(H269,CARTON_LOOKUP!$A:$E,5,0),"")</f>
      </c>
      <c r="L269" s="31">
        <f>IFERROR(VLOOKUP(H269,CARTON_LOOKUP!$A:$E,2,0),"")</f>
      </c>
      <c r="M269" t="s">
        <v>101</v>
      </c>
      <c r="N269" t="s">
        <v>102</v>
      </c>
      <c r="O269" t="s">
        <v>103</v>
      </c>
    </row>
    <row r="270" spans="1:16" x14ac:dyDescent="0.25">
      <c r="A270" s="14"/>
      <c r="B270" s="28"/>
      <c r="C270" s="28"/>
      <c r="D270" t="s">
        <v>100</v>
      </c>
      <c r="E270" t="s">
        <v>50</v>
      </c>
      <c r="F270">
        <v>1</v>
      </c>
      <c r="G270" s="29">
        <v>0.21</v>
      </c>
      <c r="H270" t="s">
        <v>30</v>
      </c>
      <c r="I270" s="30">
        <f>IFERROR(VLOOKUP(H270,CARTON_LOOKUP!$A:$E,3,0),"")</f>
      </c>
      <c r="J270" s="30">
        <f>IFERROR(VLOOKUP(H270,CARTON_LOOKUP!$A:$E,4,0),"")</f>
      </c>
      <c r="K270" s="30">
        <f>IFERROR(VLOOKUP(H270,CARTON_LOOKUP!$A:$E,5,0),"")</f>
      </c>
      <c r="L270" s="31">
        <f>IFERROR(VLOOKUP(H270,CARTON_LOOKUP!$A:$E,2,0),"")</f>
      </c>
      <c r="M270" t="s">
        <v>101</v>
      </c>
      <c r="N270" t="s">
        <v>102</v>
      </c>
      <c r="O270" t="s">
        <v>103</v>
      </c>
    </row>
    <row r="271" spans="1:16" x14ac:dyDescent="0.25">
      <c r="A271" s="14"/>
      <c r="B271" s="28"/>
      <c r="C271" s="28"/>
      <c r="D271" t="s">
        <v>100</v>
      </c>
      <c r="E271" t="s">
        <v>50</v>
      </c>
      <c r="F271">
        <v>1</v>
      </c>
      <c r="G271" s="29">
        <v>0.21</v>
      </c>
      <c r="H271" t="s">
        <v>30</v>
      </c>
      <c r="I271" s="30">
        <f>IFERROR(VLOOKUP(H271,CARTON_LOOKUP!$A:$E,3,0),"")</f>
      </c>
      <c r="J271" s="30">
        <f>IFERROR(VLOOKUP(H271,CARTON_LOOKUP!$A:$E,4,0),"")</f>
      </c>
      <c r="K271" s="30">
        <f>IFERROR(VLOOKUP(H271,CARTON_LOOKUP!$A:$E,5,0),"")</f>
      </c>
      <c r="L271" s="31">
        <f>IFERROR(VLOOKUP(H271,CARTON_LOOKUP!$A:$E,2,0),"")</f>
      </c>
      <c r="M271" t="s">
        <v>101</v>
      </c>
      <c r="N271" t="s">
        <v>102</v>
      </c>
      <c r="O271" t="s">
        <v>103</v>
      </c>
    </row>
    <row r="272" spans="1:16" x14ac:dyDescent="0.25">
      <c r="A272" s="14"/>
      <c r="B272" s="28"/>
      <c r="C272" s="28"/>
      <c r="D272" t="s">
        <v>100</v>
      </c>
      <c r="E272" t="s">
        <v>50</v>
      </c>
      <c r="F272">
        <v>1</v>
      </c>
      <c r="G272" s="29">
        <v>0.21</v>
      </c>
      <c r="H272" t="s">
        <v>30</v>
      </c>
      <c r="I272" s="30">
        <f>IFERROR(VLOOKUP(H272,CARTON_LOOKUP!$A:$E,3,0),"")</f>
      </c>
      <c r="J272" s="30">
        <f>IFERROR(VLOOKUP(H272,CARTON_LOOKUP!$A:$E,4,0),"")</f>
      </c>
      <c r="K272" s="30">
        <f>IFERROR(VLOOKUP(H272,CARTON_LOOKUP!$A:$E,5,0),"")</f>
      </c>
      <c r="L272" s="31">
        <f>IFERROR(VLOOKUP(H272,CARTON_LOOKUP!$A:$E,2,0),"")</f>
      </c>
      <c r="M272" t="s">
        <v>101</v>
      </c>
      <c r="N272" t="s">
        <v>102</v>
      </c>
      <c r="O272" t="s">
        <v>103</v>
      </c>
    </row>
    <row r="273" spans="1:16" x14ac:dyDescent="0.25">
      <c r="A273" s="14"/>
      <c r="B273" s="28"/>
      <c r="C273" s="28"/>
      <c r="D273" t="s">
        <v>100</v>
      </c>
      <c r="E273" t="s">
        <v>50</v>
      </c>
      <c r="F273">
        <v>1</v>
      </c>
      <c r="G273" s="29">
        <v>0.21</v>
      </c>
      <c r="H273" t="s">
        <v>30</v>
      </c>
      <c r="I273" s="30">
        <f>IFERROR(VLOOKUP(H273,CARTON_LOOKUP!$A:$E,3,0),"")</f>
      </c>
      <c r="J273" s="30">
        <f>IFERROR(VLOOKUP(H273,CARTON_LOOKUP!$A:$E,4,0),"")</f>
      </c>
      <c r="K273" s="30">
        <f>IFERROR(VLOOKUP(H273,CARTON_LOOKUP!$A:$E,5,0),"")</f>
      </c>
      <c r="L273" s="31">
        <f>IFERROR(VLOOKUP(H273,CARTON_LOOKUP!$A:$E,2,0),"")</f>
      </c>
      <c r="M273" t="s">
        <v>101</v>
      </c>
      <c r="N273" t="s">
        <v>102</v>
      </c>
      <c r="O273" t="s">
        <v>103</v>
      </c>
    </row>
    <row r="274" spans="1:16" x14ac:dyDescent="0.25">
      <c r="A274" s="14"/>
      <c r="B274" s="28"/>
      <c r="C274" s="28"/>
      <c r="D274" t="s">
        <v>100</v>
      </c>
      <c r="E274" t="s">
        <v>50</v>
      </c>
      <c r="F274">
        <v>1</v>
      </c>
      <c r="G274" s="29">
        <v>0.21</v>
      </c>
      <c r="H274" t="s">
        <v>30</v>
      </c>
      <c r="I274" s="30">
        <f>IFERROR(VLOOKUP(H274,CARTON_LOOKUP!$A:$E,3,0),"")</f>
      </c>
      <c r="J274" s="30">
        <f>IFERROR(VLOOKUP(H274,CARTON_LOOKUP!$A:$E,4,0),"")</f>
      </c>
      <c r="K274" s="30">
        <f>IFERROR(VLOOKUP(H274,CARTON_LOOKUP!$A:$E,5,0),"")</f>
      </c>
      <c r="L274" s="31">
        <f>IFERROR(VLOOKUP(H274,CARTON_LOOKUP!$A:$E,2,0),"")</f>
      </c>
      <c r="M274" t="s">
        <v>101</v>
      </c>
      <c r="N274" t="s">
        <v>102</v>
      </c>
      <c r="O274" t="s">
        <v>103</v>
      </c>
    </row>
    <row r="275" spans="1:16" x14ac:dyDescent="0.25">
      <c r="A275" s="14"/>
      <c r="B275" s="28"/>
      <c r="C275" s="28"/>
      <c r="D275" t="s">
        <v>100</v>
      </c>
      <c r="E275" t="s">
        <v>50</v>
      </c>
      <c r="F275">
        <v>1</v>
      </c>
      <c r="G275" s="29">
        <v>0.21</v>
      </c>
      <c r="H275" t="s">
        <v>30</v>
      </c>
      <c r="I275" s="30">
        <f>IFERROR(VLOOKUP(H275,CARTON_LOOKUP!$A:$E,3,0),"")</f>
      </c>
      <c r="J275" s="30">
        <f>IFERROR(VLOOKUP(H275,CARTON_LOOKUP!$A:$E,4,0),"")</f>
      </c>
      <c r="K275" s="30">
        <f>IFERROR(VLOOKUP(H275,CARTON_LOOKUP!$A:$E,5,0),"")</f>
      </c>
      <c r="L275" s="31">
        <f>IFERROR(VLOOKUP(H275,CARTON_LOOKUP!$A:$E,2,0),"")</f>
      </c>
      <c r="M275" t="s">
        <v>101</v>
      </c>
      <c r="N275" t="s">
        <v>102</v>
      </c>
      <c r="O275" t="s">
        <v>103</v>
      </c>
    </row>
    <row r="276" spans="1:16" x14ac:dyDescent="0.25">
      <c r="A276" s="14"/>
      <c r="B276" s="28"/>
      <c r="C276" s="28"/>
      <c r="D276" t="s">
        <v>100</v>
      </c>
      <c r="E276" t="s">
        <v>50</v>
      </c>
      <c r="F276">
        <v>1</v>
      </c>
      <c r="G276" s="29">
        <v>0.21</v>
      </c>
      <c r="H276" t="s">
        <v>30</v>
      </c>
      <c r="I276" s="30">
        <f>IFERROR(VLOOKUP(H276,CARTON_LOOKUP!$A:$E,3,0),"")</f>
      </c>
      <c r="J276" s="30">
        <f>IFERROR(VLOOKUP(H276,CARTON_LOOKUP!$A:$E,4,0),"")</f>
      </c>
      <c r="K276" s="30">
        <f>IFERROR(VLOOKUP(H276,CARTON_LOOKUP!$A:$E,5,0),"")</f>
      </c>
      <c r="L276" s="31">
        <f>IFERROR(VLOOKUP(H276,CARTON_LOOKUP!$A:$E,2,0),"")</f>
      </c>
      <c r="M276" t="s">
        <v>101</v>
      </c>
      <c r="N276" t="s">
        <v>102</v>
      </c>
      <c r="O276" t="s">
        <v>103</v>
      </c>
    </row>
    <row r="277" spans="1:16" x14ac:dyDescent="0.25">
      <c r="A277" s="14"/>
      <c r="B277" s="28"/>
      <c r="C277" s="28"/>
      <c r="D277" t="s">
        <v>100</v>
      </c>
      <c r="E277" t="s">
        <v>50</v>
      </c>
      <c r="F277">
        <v>1</v>
      </c>
      <c r="G277" s="29">
        <v>0.21</v>
      </c>
      <c r="H277" t="s">
        <v>30</v>
      </c>
      <c r="I277" s="30">
        <f>IFERROR(VLOOKUP(H277,CARTON_LOOKUP!$A:$E,3,0),"")</f>
      </c>
      <c r="J277" s="30">
        <f>IFERROR(VLOOKUP(H277,CARTON_LOOKUP!$A:$E,4,0),"")</f>
      </c>
      <c r="K277" s="30">
        <f>IFERROR(VLOOKUP(H277,CARTON_LOOKUP!$A:$E,5,0),"")</f>
      </c>
      <c r="L277" s="31">
        <f>IFERROR(VLOOKUP(H277,CARTON_LOOKUP!$A:$E,2,0),"")</f>
      </c>
      <c r="M277" t="s">
        <v>101</v>
      </c>
      <c r="N277" t="s">
        <v>102</v>
      </c>
      <c r="O277" t="s">
        <v>103</v>
      </c>
    </row>
    <row r="278" spans="1:16" x14ac:dyDescent="0.25">
      <c r="A278" s="14"/>
      <c r="B278" s="28"/>
      <c r="C278" s="28"/>
      <c r="D278" t="s">
        <v>100</v>
      </c>
      <c r="E278" t="s">
        <v>50</v>
      </c>
      <c r="F278">
        <v>1</v>
      </c>
      <c r="G278" s="29">
        <v>0.21</v>
      </c>
      <c r="H278" t="s">
        <v>30</v>
      </c>
      <c r="I278" s="30">
        <f>IFERROR(VLOOKUP(H278,CARTON_LOOKUP!$A:$E,3,0),"")</f>
      </c>
      <c r="J278" s="30">
        <f>IFERROR(VLOOKUP(H278,CARTON_LOOKUP!$A:$E,4,0),"")</f>
      </c>
      <c r="K278" s="30">
        <f>IFERROR(VLOOKUP(H278,CARTON_LOOKUP!$A:$E,5,0),"")</f>
      </c>
      <c r="L278" s="31">
        <f>IFERROR(VLOOKUP(H278,CARTON_LOOKUP!$A:$E,2,0),"")</f>
      </c>
      <c r="M278" t="s">
        <v>101</v>
      </c>
      <c r="N278" t="s">
        <v>102</v>
      </c>
      <c r="O278" t="s">
        <v>103</v>
      </c>
    </row>
    <row r="279" spans="1:16" x14ac:dyDescent="0.25">
      <c r="A279" s="14"/>
      <c r="B279" s="28"/>
      <c r="C279" s="28"/>
      <c r="D279" t="s">
        <v>100</v>
      </c>
      <c r="E279" t="s">
        <v>50</v>
      </c>
      <c r="F279">
        <v>1</v>
      </c>
      <c r="G279" s="29">
        <v>0.21</v>
      </c>
      <c r="H279" t="s">
        <v>30</v>
      </c>
      <c r="I279" s="30">
        <f>IFERROR(VLOOKUP(H279,CARTON_LOOKUP!$A:$E,3,0),"")</f>
      </c>
      <c r="J279" s="30">
        <f>IFERROR(VLOOKUP(H279,CARTON_LOOKUP!$A:$E,4,0),"")</f>
      </c>
      <c r="K279" s="30">
        <f>IFERROR(VLOOKUP(H279,CARTON_LOOKUP!$A:$E,5,0),"")</f>
      </c>
      <c r="L279" s="31">
        <f>IFERROR(VLOOKUP(H279,CARTON_LOOKUP!$A:$E,2,0),"")</f>
      </c>
      <c r="M279" t="s">
        <v>101</v>
      </c>
      <c r="N279" t="s">
        <v>102</v>
      </c>
      <c r="O279" t="s">
        <v>103</v>
      </c>
    </row>
    <row r="280" spans="1:16" x14ac:dyDescent="0.25">
      <c r="A280" s="14"/>
      <c r="B280" s="28"/>
      <c r="C280" s="28"/>
      <c r="D280" t="s">
        <v>100</v>
      </c>
      <c r="E280" t="s">
        <v>50</v>
      </c>
      <c r="F280">
        <v>1</v>
      </c>
      <c r="G280" s="29">
        <v>0.21</v>
      </c>
      <c r="H280" t="s">
        <v>30</v>
      </c>
      <c r="I280" s="30">
        <f>IFERROR(VLOOKUP(H280,CARTON_LOOKUP!$A:$E,3,0),"")</f>
      </c>
      <c r="J280" s="30">
        <f>IFERROR(VLOOKUP(H280,CARTON_LOOKUP!$A:$E,4,0),"")</f>
      </c>
      <c r="K280" s="30">
        <f>IFERROR(VLOOKUP(H280,CARTON_LOOKUP!$A:$E,5,0),"")</f>
      </c>
      <c r="L280" s="31">
        <f>IFERROR(VLOOKUP(H280,CARTON_LOOKUP!$A:$E,2,0),"")</f>
      </c>
      <c r="M280" t="s">
        <v>101</v>
      </c>
      <c r="N280" t="s">
        <v>102</v>
      </c>
      <c r="O280" t="s">
        <v>103</v>
      </c>
    </row>
    <row r="281" spans="1:16" x14ac:dyDescent="0.25">
      <c r="A281" s="14"/>
      <c r="B281" s="28"/>
      <c r="C281" s="28"/>
      <c r="D281" t="s">
        <v>100</v>
      </c>
      <c r="E281" t="s">
        <v>50</v>
      </c>
      <c r="F281">
        <v>1</v>
      </c>
      <c r="G281" s="29">
        <v>0.21</v>
      </c>
      <c r="H281" t="s">
        <v>30</v>
      </c>
      <c r="I281" s="30">
        <f>IFERROR(VLOOKUP(H281,CARTON_LOOKUP!$A:$E,3,0),"")</f>
      </c>
      <c r="J281" s="30">
        <f>IFERROR(VLOOKUP(H281,CARTON_LOOKUP!$A:$E,4,0),"")</f>
      </c>
      <c r="K281" s="30">
        <f>IFERROR(VLOOKUP(H281,CARTON_LOOKUP!$A:$E,5,0),"")</f>
      </c>
      <c r="L281" s="31">
        <f>IFERROR(VLOOKUP(H281,CARTON_LOOKUP!$A:$E,2,0),"")</f>
      </c>
      <c r="M281" t="s">
        <v>101</v>
      </c>
      <c r="N281" t="s">
        <v>102</v>
      </c>
      <c r="O281" t="s">
        <v>103</v>
      </c>
    </row>
    <row r="282" spans="1:16" x14ac:dyDescent="0.25">
      <c r="A282" s="14"/>
      <c r="B282" s="28"/>
      <c r="C282" s="28"/>
      <c r="D282" t="s">
        <v>100</v>
      </c>
      <c r="E282" t="s">
        <v>50</v>
      </c>
      <c r="F282">
        <v>1</v>
      </c>
      <c r="G282" s="29">
        <v>0.21</v>
      </c>
      <c r="H282" t="s">
        <v>30</v>
      </c>
      <c r="I282" s="30">
        <f>IFERROR(VLOOKUP(H282,CARTON_LOOKUP!$A:$E,3,0),"")</f>
      </c>
      <c r="J282" s="30">
        <f>IFERROR(VLOOKUP(H282,CARTON_LOOKUP!$A:$E,4,0),"")</f>
      </c>
      <c r="K282" s="30">
        <f>IFERROR(VLOOKUP(H282,CARTON_LOOKUP!$A:$E,5,0),"")</f>
      </c>
      <c r="L282" s="31">
        <f>IFERROR(VLOOKUP(H282,CARTON_LOOKUP!$A:$E,2,0),"")</f>
      </c>
      <c r="M282" t="s">
        <v>101</v>
      </c>
      <c r="N282" t="s">
        <v>102</v>
      </c>
      <c r="O282" t="s">
        <v>103</v>
      </c>
    </row>
    <row r="283" spans="1:16" x14ac:dyDescent="0.25">
      <c r="A283" s="14"/>
      <c r="B283" s="28"/>
      <c r="C283" s="28"/>
      <c r="D283" t="s">
        <v>100</v>
      </c>
      <c r="E283" t="s">
        <v>50</v>
      </c>
      <c r="F283">
        <v>1</v>
      </c>
      <c r="G283" s="29">
        <v>0.21</v>
      </c>
      <c r="H283" t="s">
        <v>30</v>
      </c>
      <c r="I283" s="30">
        <f>IFERROR(VLOOKUP(H283,CARTON_LOOKUP!$A:$E,3,0),"")</f>
      </c>
      <c r="J283" s="30">
        <f>IFERROR(VLOOKUP(H283,CARTON_LOOKUP!$A:$E,4,0),"")</f>
      </c>
      <c r="K283" s="30">
        <f>IFERROR(VLOOKUP(H283,CARTON_LOOKUP!$A:$E,5,0),"")</f>
      </c>
      <c r="L283" s="31">
        <f>IFERROR(VLOOKUP(H283,CARTON_LOOKUP!$A:$E,2,0),"")</f>
      </c>
      <c r="M283" t="s">
        <v>101</v>
      </c>
      <c r="N283" t="s">
        <v>102</v>
      </c>
      <c r="O283" t="s">
        <v>103</v>
      </c>
    </row>
    <row r="284" spans="1:16" x14ac:dyDescent="0.25">
      <c r="A284" s="14"/>
      <c r="B284" s="28"/>
      <c r="C284" s="28"/>
      <c r="D284" t="s">
        <v>100</v>
      </c>
      <c r="E284" t="s">
        <v>50</v>
      </c>
      <c r="F284">
        <v>1</v>
      </c>
      <c r="G284" s="29">
        <v>0.21</v>
      </c>
      <c r="H284" t="s">
        <v>30</v>
      </c>
      <c r="I284" s="30">
        <f>IFERROR(VLOOKUP(H284,CARTON_LOOKUP!$A:$E,3,0),"")</f>
      </c>
      <c r="J284" s="30">
        <f>IFERROR(VLOOKUP(H284,CARTON_LOOKUP!$A:$E,4,0),"")</f>
      </c>
      <c r="K284" s="30">
        <f>IFERROR(VLOOKUP(H284,CARTON_LOOKUP!$A:$E,5,0),"")</f>
      </c>
      <c r="L284" s="31">
        <f>IFERROR(VLOOKUP(H284,CARTON_LOOKUP!$A:$E,2,0),"")</f>
      </c>
      <c r="M284" t="s">
        <v>101</v>
      </c>
      <c r="N284" t="s">
        <v>102</v>
      </c>
      <c r="O284" t="s">
        <v>103</v>
      </c>
    </row>
    <row r="285" spans="1:16" x14ac:dyDescent="0.25">
      <c r="A285" s="14"/>
      <c r="B285" s="28"/>
      <c r="C285" s="28"/>
      <c r="D285" t="s">
        <v>100</v>
      </c>
      <c r="E285" t="s">
        <v>50</v>
      </c>
      <c r="F285">
        <v>1</v>
      </c>
      <c r="G285" s="29">
        <v>0.21</v>
      </c>
      <c r="H285" t="s">
        <v>30</v>
      </c>
      <c r="I285" s="30">
        <f>IFERROR(VLOOKUP(H285,CARTON_LOOKUP!$A:$E,3,0),"")</f>
      </c>
      <c r="J285" s="30">
        <f>IFERROR(VLOOKUP(H285,CARTON_LOOKUP!$A:$E,4,0),"")</f>
      </c>
      <c r="K285" s="30">
        <f>IFERROR(VLOOKUP(H285,CARTON_LOOKUP!$A:$E,5,0),"")</f>
      </c>
      <c r="L285" s="31">
        <f>IFERROR(VLOOKUP(H285,CARTON_LOOKUP!$A:$E,2,0),"")</f>
      </c>
      <c r="M285" t="s">
        <v>101</v>
      </c>
      <c r="N285" t="s">
        <v>102</v>
      </c>
      <c r="O285" t="s">
        <v>103</v>
      </c>
    </row>
    <row r="286" spans="1:16" x14ac:dyDescent="0.25">
      <c r="A286" s="14"/>
      <c r="B286" s="28"/>
      <c r="C286" s="28"/>
      <c r="D286" t="s">
        <v>100</v>
      </c>
      <c r="E286" t="s">
        <v>50</v>
      </c>
      <c r="F286">
        <v>1</v>
      </c>
      <c r="G286" s="29">
        <v>0.21</v>
      </c>
      <c r="H286" t="s">
        <v>30</v>
      </c>
      <c r="I286" s="30">
        <f>IFERROR(VLOOKUP(H286,CARTON_LOOKUP!$A:$E,3,0),"")</f>
      </c>
      <c r="J286" s="30">
        <f>IFERROR(VLOOKUP(H286,CARTON_LOOKUP!$A:$E,4,0),"")</f>
      </c>
      <c r="K286" s="30">
        <f>IFERROR(VLOOKUP(H286,CARTON_LOOKUP!$A:$E,5,0),"")</f>
      </c>
      <c r="L286" s="31">
        <f>IFERROR(VLOOKUP(H286,CARTON_LOOKUP!$A:$E,2,0),"")</f>
      </c>
      <c r="M286" t="s">
        <v>101</v>
      </c>
      <c r="N286" t="s">
        <v>102</v>
      </c>
      <c r="O286" t="s">
        <v>103</v>
      </c>
    </row>
    <row r="287" spans="1:16" x14ac:dyDescent="0.25">
      <c r="A287" s="14"/>
      <c r="B287" s="28"/>
      <c r="C287" s="28"/>
      <c r="D287" t="s">
        <v>100</v>
      </c>
      <c r="E287" t="s">
        <v>50</v>
      </c>
      <c r="F287">
        <v>1</v>
      </c>
      <c r="G287" s="29">
        <v>0.21</v>
      </c>
      <c r="H287" t="s">
        <v>30</v>
      </c>
      <c r="I287" s="30">
        <f>IFERROR(VLOOKUP(H287,CARTON_LOOKUP!$A:$E,3,0),"")</f>
      </c>
      <c r="J287" s="30">
        <f>IFERROR(VLOOKUP(H287,CARTON_LOOKUP!$A:$E,4,0),"")</f>
      </c>
      <c r="K287" s="30">
        <f>IFERROR(VLOOKUP(H287,CARTON_LOOKUP!$A:$E,5,0),"")</f>
      </c>
      <c r="L287" s="31">
        <f>IFERROR(VLOOKUP(H287,CARTON_LOOKUP!$A:$E,2,0),"")</f>
      </c>
      <c r="M287" t="s">
        <v>101</v>
      </c>
      <c r="N287" t="s">
        <v>102</v>
      </c>
      <c r="O287" t="s">
        <v>103</v>
      </c>
    </row>
    <row r="288" spans="1:16" x14ac:dyDescent="0.25">
      <c r="A288" s="14"/>
      <c r="B288" s="28"/>
      <c r="C288" s="28"/>
      <c r="D288" t="s">
        <v>100</v>
      </c>
      <c r="E288" t="s">
        <v>50</v>
      </c>
      <c r="F288">
        <v>1</v>
      </c>
      <c r="G288" s="29">
        <v>0.21</v>
      </c>
      <c r="H288" t="s">
        <v>30</v>
      </c>
      <c r="I288" s="30">
        <f>IFERROR(VLOOKUP(H288,CARTON_LOOKUP!$A:$E,3,0),"")</f>
      </c>
      <c r="J288" s="30">
        <f>IFERROR(VLOOKUP(H288,CARTON_LOOKUP!$A:$E,4,0),"")</f>
      </c>
      <c r="K288" s="30">
        <f>IFERROR(VLOOKUP(H288,CARTON_LOOKUP!$A:$E,5,0),"")</f>
      </c>
      <c r="L288" s="31">
        <f>IFERROR(VLOOKUP(H288,CARTON_LOOKUP!$A:$E,2,0),"")</f>
      </c>
      <c r="M288" t="s">
        <v>101</v>
      </c>
      <c r="N288" t="s">
        <v>102</v>
      </c>
      <c r="O288" t="s">
        <v>103</v>
      </c>
    </row>
    <row r="289" spans="1:16" x14ac:dyDescent="0.25">
      <c r="A289" s="14"/>
      <c r="B289" s="28"/>
      <c r="C289" s="28"/>
      <c r="D289" t="s">
        <v>100</v>
      </c>
      <c r="E289" t="s">
        <v>50</v>
      </c>
      <c r="F289">
        <v>1</v>
      </c>
      <c r="G289" s="29">
        <v>0.21</v>
      </c>
      <c r="H289" t="s">
        <v>30</v>
      </c>
      <c r="I289" s="30">
        <f>IFERROR(VLOOKUP(H289,CARTON_LOOKUP!$A:$E,3,0),"")</f>
      </c>
      <c r="J289" s="30">
        <f>IFERROR(VLOOKUP(H289,CARTON_LOOKUP!$A:$E,4,0),"")</f>
      </c>
      <c r="K289" s="30">
        <f>IFERROR(VLOOKUP(H289,CARTON_LOOKUP!$A:$E,5,0),"")</f>
      </c>
      <c r="L289" s="31">
        <f>IFERROR(VLOOKUP(H289,CARTON_LOOKUP!$A:$E,2,0),"")</f>
      </c>
      <c r="M289" t="s">
        <v>101</v>
      </c>
      <c r="N289" t="s">
        <v>102</v>
      </c>
      <c r="O289" t="s">
        <v>103</v>
      </c>
    </row>
    <row r="290" spans="1:16" x14ac:dyDescent="0.25">
      <c r="A290" s="14"/>
      <c r="B290" s="28"/>
      <c r="C290" s="28"/>
      <c r="D290" t="s">
        <v>100</v>
      </c>
      <c r="E290" t="s">
        <v>50</v>
      </c>
      <c r="F290">
        <v>1</v>
      </c>
      <c r="G290" s="29">
        <v>0.21</v>
      </c>
      <c r="H290" t="s">
        <v>30</v>
      </c>
      <c r="I290" s="30">
        <f>IFERROR(VLOOKUP(H290,CARTON_LOOKUP!$A:$E,3,0),"")</f>
      </c>
      <c r="J290" s="30">
        <f>IFERROR(VLOOKUP(H290,CARTON_LOOKUP!$A:$E,4,0),"")</f>
      </c>
      <c r="K290" s="30">
        <f>IFERROR(VLOOKUP(H290,CARTON_LOOKUP!$A:$E,5,0),"")</f>
      </c>
      <c r="L290" s="31">
        <f>IFERROR(VLOOKUP(H290,CARTON_LOOKUP!$A:$E,2,0),"")</f>
      </c>
      <c r="M290" t="s">
        <v>101</v>
      </c>
      <c r="N290" t="s">
        <v>102</v>
      </c>
      <c r="O290" t="s">
        <v>103</v>
      </c>
    </row>
    <row r="291" spans="1:16" x14ac:dyDescent="0.25">
      <c r="A291" s="14"/>
      <c r="B291" s="28"/>
      <c r="C291" s="28"/>
      <c r="D291" t="s">
        <v>100</v>
      </c>
      <c r="E291" t="s">
        <v>50</v>
      </c>
      <c r="F291">
        <v>1</v>
      </c>
      <c r="G291" s="29">
        <v>0.21</v>
      </c>
      <c r="H291" t="s">
        <v>30</v>
      </c>
      <c r="I291" s="30">
        <f>IFERROR(VLOOKUP(H291,CARTON_LOOKUP!$A:$E,3,0),"")</f>
      </c>
      <c r="J291" s="30">
        <f>IFERROR(VLOOKUP(H291,CARTON_LOOKUP!$A:$E,4,0),"")</f>
      </c>
      <c r="K291" s="30">
        <f>IFERROR(VLOOKUP(H291,CARTON_LOOKUP!$A:$E,5,0),"")</f>
      </c>
      <c r="L291" s="31">
        <f>IFERROR(VLOOKUP(H291,CARTON_LOOKUP!$A:$E,2,0),"")</f>
      </c>
      <c r="M291" t="s">
        <v>101</v>
      </c>
      <c r="N291" t="s">
        <v>102</v>
      </c>
      <c r="O291" t="s">
        <v>103</v>
      </c>
    </row>
    <row r="292" spans="1:16" x14ac:dyDescent="0.25">
      <c r="A292" s="14"/>
      <c r="B292" s="28"/>
      <c r="C292" s="28"/>
      <c r="D292" t="s">
        <v>100</v>
      </c>
      <c r="E292" t="s">
        <v>50</v>
      </c>
      <c r="F292">
        <v>1</v>
      </c>
      <c r="G292" s="29">
        <v>0.21</v>
      </c>
      <c r="H292" t="s">
        <v>30</v>
      </c>
      <c r="I292" s="30">
        <f>IFERROR(VLOOKUP(H292,CARTON_LOOKUP!$A:$E,3,0),"")</f>
      </c>
      <c r="J292" s="30">
        <f>IFERROR(VLOOKUP(H292,CARTON_LOOKUP!$A:$E,4,0),"")</f>
      </c>
      <c r="K292" s="30">
        <f>IFERROR(VLOOKUP(H292,CARTON_LOOKUP!$A:$E,5,0),"")</f>
      </c>
      <c r="L292" s="31">
        <f>IFERROR(VLOOKUP(H292,CARTON_LOOKUP!$A:$E,2,0),"")</f>
      </c>
      <c r="M292" t="s">
        <v>101</v>
      </c>
      <c r="N292" t="s">
        <v>102</v>
      </c>
      <c r="O292" t="s">
        <v>103</v>
      </c>
    </row>
    <row r="293" spans="1:16" x14ac:dyDescent="0.25">
      <c r="A293" s="14"/>
      <c r="B293" s="28"/>
      <c r="C293" s="28"/>
      <c r="D293" t="s">
        <v>100</v>
      </c>
      <c r="E293" t="s">
        <v>50</v>
      </c>
      <c r="F293">
        <v>1</v>
      </c>
      <c r="G293" s="29">
        <v>0.21</v>
      </c>
      <c r="H293" t="s">
        <v>30</v>
      </c>
      <c r="I293" s="30">
        <f>IFERROR(VLOOKUP(H293,CARTON_LOOKUP!$A:$E,3,0),"")</f>
      </c>
      <c r="J293" s="30">
        <f>IFERROR(VLOOKUP(H293,CARTON_LOOKUP!$A:$E,4,0),"")</f>
      </c>
      <c r="K293" s="30">
        <f>IFERROR(VLOOKUP(H293,CARTON_LOOKUP!$A:$E,5,0),"")</f>
      </c>
      <c r="L293" s="31">
        <f>IFERROR(VLOOKUP(H293,CARTON_LOOKUP!$A:$E,2,0),"")</f>
      </c>
      <c r="M293" t="s">
        <v>101</v>
      </c>
      <c r="N293" t="s">
        <v>102</v>
      </c>
      <c r="O293" t="s">
        <v>103</v>
      </c>
    </row>
    <row r="294" spans="1:16" x14ac:dyDescent="0.25">
      <c r="A294" s="14"/>
      <c r="B294" s="28"/>
      <c r="C294" s="28"/>
      <c r="D294" t="s">
        <v>100</v>
      </c>
      <c r="E294" t="s">
        <v>50</v>
      </c>
      <c r="F294">
        <v>1</v>
      </c>
      <c r="G294" s="29">
        <v>0.21</v>
      </c>
      <c r="H294" t="s">
        <v>30</v>
      </c>
      <c r="I294" s="30">
        <f>IFERROR(VLOOKUP(H294,CARTON_LOOKUP!$A:$E,3,0),"")</f>
      </c>
      <c r="J294" s="30">
        <f>IFERROR(VLOOKUP(H294,CARTON_LOOKUP!$A:$E,4,0),"")</f>
      </c>
      <c r="K294" s="30">
        <f>IFERROR(VLOOKUP(H294,CARTON_LOOKUP!$A:$E,5,0),"")</f>
      </c>
      <c r="L294" s="31">
        <f>IFERROR(VLOOKUP(H294,CARTON_LOOKUP!$A:$E,2,0),"")</f>
      </c>
      <c r="M294" t="s">
        <v>101</v>
      </c>
      <c r="N294" t="s">
        <v>102</v>
      </c>
      <c r="O294" t="s">
        <v>103</v>
      </c>
    </row>
    <row r="295" spans="1:16" x14ac:dyDescent="0.25">
      <c r="A295" s="14"/>
      <c r="B295" s="28"/>
      <c r="C295" s="28"/>
      <c r="D295" t="s">
        <v>100</v>
      </c>
      <c r="E295" t="s">
        <v>50</v>
      </c>
      <c r="F295">
        <v>1</v>
      </c>
      <c r="G295" s="29">
        <v>0.21</v>
      </c>
      <c r="H295" t="s">
        <v>30</v>
      </c>
      <c r="I295" s="30">
        <f>IFERROR(VLOOKUP(H295,CARTON_LOOKUP!$A:$E,3,0),"")</f>
      </c>
      <c r="J295" s="30">
        <f>IFERROR(VLOOKUP(H295,CARTON_LOOKUP!$A:$E,4,0),"")</f>
      </c>
      <c r="K295" s="30">
        <f>IFERROR(VLOOKUP(H295,CARTON_LOOKUP!$A:$E,5,0),"")</f>
      </c>
      <c r="L295" s="31">
        <f>IFERROR(VLOOKUP(H295,CARTON_LOOKUP!$A:$E,2,0),"")</f>
      </c>
      <c r="M295" t="s">
        <v>101</v>
      </c>
      <c r="N295" t="s">
        <v>102</v>
      </c>
      <c r="O295" t="s">
        <v>103</v>
      </c>
    </row>
    <row r="296" spans="1:16" x14ac:dyDescent="0.25">
      <c r="A296" s="14"/>
      <c r="B296" s="28"/>
      <c r="C296" s="28"/>
      <c r="D296" t="s">
        <v>100</v>
      </c>
      <c r="E296" t="s">
        <v>50</v>
      </c>
      <c r="F296">
        <v>1</v>
      </c>
      <c r="G296" s="29">
        <v>0.21</v>
      </c>
      <c r="H296" t="s">
        <v>30</v>
      </c>
      <c r="I296" s="30">
        <f>IFERROR(VLOOKUP(H296,CARTON_LOOKUP!$A:$E,3,0),"")</f>
      </c>
      <c r="J296" s="30">
        <f>IFERROR(VLOOKUP(H296,CARTON_LOOKUP!$A:$E,4,0),"")</f>
      </c>
      <c r="K296" s="30">
        <f>IFERROR(VLOOKUP(H296,CARTON_LOOKUP!$A:$E,5,0),"")</f>
      </c>
      <c r="L296" s="31">
        <f>IFERROR(VLOOKUP(H296,CARTON_LOOKUP!$A:$E,2,0),"")</f>
      </c>
      <c r="M296" t="s">
        <v>101</v>
      </c>
      <c r="N296" t="s">
        <v>102</v>
      </c>
      <c r="O296" t="s">
        <v>103</v>
      </c>
    </row>
    <row r="297" spans="1:16" x14ac:dyDescent="0.25">
      <c r="A297" s="14"/>
      <c r="B297" s="28"/>
      <c r="C297" s="28"/>
      <c r="D297" t="s">
        <v>100</v>
      </c>
      <c r="E297" t="s">
        <v>50</v>
      </c>
      <c r="F297">
        <v>1</v>
      </c>
      <c r="G297" s="29">
        <v>0.21</v>
      </c>
      <c r="H297" t="s">
        <v>30</v>
      </c>
      <c r="I297" s="30">
        <f>IFERROR(VLOOKUP(H297,CARTON_LOOKUP!$A:$E,3,0),"")</f>
      </c>
      <c r="J297" s="30">
        <f>IFERROR(VLOOKUP(H297,CARTON_LOOKUP!$A:$E,4,0),"")</f>
      </c>
      <c r="K297" s="30">
        <f>IFERROR(VLOOKUP(H297,CARTON_LOOKUP!$A:$E,5,0),"")</f>
      </c>
      <c r="L297" s="31">
        <f>IFERROR(VLOOKUP(H297,CARTON_LOOKUP!$A:$E,2,0),"")</f>
      </c>
      <c r="M297" t="s">
        <v>101</v>
      </c>
      <c r="N297" t="s">
        <v>102</v>
      </c>
      <c r="O297" t="s">
        <v>103</v>
      </c>
    </row>
    <row r="298" spans="1:16" x14ac:dyDescent="0.25">
      <c r="A298" s="14"/>
      <c r="B298" s="28"/>
      <c r="C298" s="28"/>
      <c r="D298" t="s">
        <v>100</v>
      </c>
      <c r="E298" t="s">
        <v>50</v>
      </c>
      <c r="F298">
        <v>1</v>
      </c>
      <c r="G298" s="29">
        <v>0.21</v>
      </c>
      <c r="H298" t="s">
        <v>30</v>
      </c>
      <c r="I298" s="30">
        <f>IFERROR(VLOOKUP(H298,CARTON_LOOKUP!$A:$E,3,0),"")</f>
      </c>
      <c r="J298" s="30">
        <f>IFERROR(VLOOKUP(H298,CARTON_LOOKUP!$A:$E,4,0),"")</f>
      </c>
      <c r="K298" s="30">
        <f>IFERROR(VLOOKUP(H298,CARTON_LOOKUP!$A:$E,5,0),"")</f>
      </c>
      <c r="L298" s="31">
        <f>IFERROR(VLOOKUP(H298,CARTON_LOOKUP!$A:$E,2,0),"")</f>
      </c>
      <c r="M298" t="s">
        <v>101</v>
      </c>
      <c r="N298" t="s">
        <v>102</v>
      </c>
      <c r="O298" t="s">
        <v>103</v>
      </c>
    </row>
    <row r="299" spans="1:16" x14ac:dyDescent="0.25">
      <c r="A299" s="14"/>
      <c r="B299" s="28"/>
      <c r="C299" s="28"/>
      <c r="D299" t="s">
        <v>100</v>
      </c>
      <c r="E299" t="s">
        <v>50</v>
      </c>
      <c r="F299">
        <v>1</v>
      </c>
      <c r="G299" s="29">
        <v>0.21</v>
      </c>
      <c r="H299" t="s">
        <v>30</v>
      </c>
      <c r="I299" s="30">
        <f>IFERROR(VLOOKUP(H299,CARTON_LOOKUP!$A:$E,3,0),"")</f>
      </c>
      <c r="J299" s="30">
        <f>IFERROR(VLOOKUP(H299,CARTON_LOOKUP!$A:$E,4,0),"")</f>
      </c>
      <c r="K299" s="30">
        <f>IFERROR(VLOOKUP(H299,CARTON_LOOKUP!$A:$E,5,0),"")</f>
      </c>
      <c r="L299" s="31">
        <f>IFERROR(VLOOKUP(H299,CARTON_LOOKUP!$A:$E,2,0),"")</f>
      </c>
      <c r="M299" t="s">
        <v>101</v>
      </c>
      <c r="N299" t="s">
        <v>102</v>
      </c>
      <c r="O299" t="s">
        <v>103</v>
      </c>
    </row>
    <row r="300" spans="1:16" x14ac:dyDescent="0.25">
      <c r="A300" s="14"/>
      <c r="B300" s="28"/>
      <c r="C300" s="28"/>
      <c r="D300" t="s">
        <v>100</v>
      </c>
      <c r="E300" t="s">
        <v>50</v>
      </c>
      <c r="F300">
        <v>1</v>
      </c>
      <c r="G300" s="29">
        <v>0.21</v>
      </c>
      <c r="H300" t="s">
        <v>30</v>
      </c>
      <c r="I300" s="30">
        <f>IFERROR(VLOOKUP(H300,CARTON_LOOKUP!$A:$E,3,0),"")</f>
      </c>
      <c r="J300" s="30">
        <f>IFERROR(VLOOKUP(H300,CARTON_LOOKUP!$A:$E,4,0),"")</f>
      </c>
      <c r="K300" s="30">
        <f>IFERROR(VLOOKUP(H300,CARTON_LOOKUP!$A:$E,5,0),"")</f>
      </c>
      <c r="L300" s="31">
        <f>IFERROR(VLOOKUP(H300,CARTON_LOOKUP!$A:$E,2,0),"")</f>
      </c>
      <c r="M300" t="s">
        <v>101</v>
      </c>
      <c r="N300" t="s">
        <v>102</v>
      </c>
      <c r="O300" t="s">
        <v>103</v>
      </c>
    </row>
    <row r="301" spans="1:16" x14ac:dyDescent="0.25">
      <c r="A301" s="14"/>
      <c r="B301" s="28"/>
      <c r="C301" s="28"/>
      <c r="D301" t="s">
        <v>100</v>
      </c>
      <c r="E301" t="s">
        <v>50</v>
      </c>
      <c r="F301">
        <v>1</v>
      </c>
      <c r="G301" s="29">
        <v>0.21</v>
      </c>
      <c r="H301" t="s">
        <v>30</v>
      </c>
      <c r="I301" s="30">
        <f>IFERROR(VLOOKUP(H301,CARTON_LOOKUP!$A:$E,3,0),"")</f>
      </c>
      <c r="J301" s="30">
        <f>IFERROR(VLOOKUP(H301,CARTON_LOOKUP!$A:$E,4,0),"")</f>
      </c>
      <c r="K301" s="30">
        <f>IFERROR(VLOOKUP(H301,CARTON_LOOKUP!$A:$E,5,0),"")</f>
      </c>
      <c r="L301" s="31">
        <f>IFERROR(VLOOKUP(H301,CARTON_LOOKUP!$A:$E,2,0),"")</f>
      </c>
      <c r="M301" t="s">
        <v>101</v>
      </c>
      <c r="N301" t="s">
        <v>102</v>
      </c>
      <c r="O301" t="s">
        <v>103</v>
      </c>
    </row>
    <row r="302" spans="1:16" x14ac:dyDescent="0.25">
      <c r="A302" s="14"/>
      <c r="B302" s="28"/>
      <c r="C302" s="28"/>
      <c r="D302" t="s">
        <v>100</v>
      </c>
      <c r="E302" t="s">
        <v>50</v>
      </c>
      <c r="F302">
        <v>1</v>
      </c>
      <c r="G302" s="29">
        <v>0.21</v>
      </c>
      <c r="H302" t="s">
        <v>30</v>
      </c>
      <c r="I302" s="30">
        <f>IFERROR(VLOOKUP(H302,CARTON_LOOKUP!$A:$E,3,0),"")</f>
      </c>
      <c r="J302" s="30">
        <f>IFERROR(VLOOKUP(H302,CARTON_LOOKUP!$A:$E,4,0),"")</f>
      </c>
      <c r="K302" s="30">
        <f>IFERROR(VLOOKUP(H302,CARTON_LOOKUP!$A:$E,5,0),"")</f>
      </c>
      <c r="L302" s="31">
        <f>IFERROR(VLOOKUP(H302,CARTON_LOOKUP!$A:$E,2,0),"")</f>
      </c>
      <c r="M302" t="s">
        <v>101</v>
      </c>
      <c r="N302" t="s">
        <v>102</v>
      </c>
      <c r="O302" t="s">
        <v>103</v>
      </c>
    </row>
    <row r="303" spans="1:16" x14ac:dyDescent="0.25">
      <c r="A303" s="14"/>
      <c r="B303" s="28"/>
      <c r="C303" s="28"/>
      <c r="D303" t="s">
        <v>100</v>
      </c>
      <c r="E303" t="s">
        <v>50</v>
      </c>
      <c r="F303">
        <v>1</v>
      </c>
      <c r="G303" s="29">
        <v>0.21</v>
      </c>
      <c r="H303" t="s">
        <v>30</v>
      </c>
      <c r="I303" s="30">
        <f>IFERROR(VLOOKUP(H303,CARTON_LOOKUP!$A:$E,3,0),"")</f>
      </c>
      <c r="J303" s="30">
        <f>IFERROR(VLOOKUP(H303,CARTON_LOOKUP!$A:$E,4,0),"")</f>
      </c>
      <c r="K303" s="30">
        <f>IFERROR(VLOOKUP(H303,CARTON_LOOKUP!$A:$E,5,0),"")</f>
      </c>
      <c r="L303" s="31">
        <f>IFERROR(VLOOKUP(H303,CARTON_LOOKUP!$A:$E,2,0),"")</f>
      </c>
      <c r="M303" t="s">
        <v>101</v>
      </c>
      <c r="N303" t="s">
        <v>102</v>
      </c>
      <c r="O303" t="s">
        <v>103</v>
      </c>
    </row>
    <row r="304" spans="1:16" x14ac:dyDescent="0.25">
      <c r="A304" s="14"/>
      <c r="B304" s="28"/>
      <c r="C304" s="28"/>
      <c r="D304" t="s">
        <v>100</v>
      </c>
      <c r="E304" t="s">
        <v>50</v>
      </c>
      <c r="F304">
        <v>1</v>
      </c>
      <c r="G304" s="29">
        <v>0.21</v>
      </c>
      <c r="H304" t="s">
        <v>30</v>
      </c>
      <c r="I304" s="30">
        <f>IFERROR(VLOOKUP(H304,CARTON_LOOKUP!$A:$E,3,0),"")</f>
      </c>
      <c r="J304" s="30">
        <f>IFERROR(VLOOKUP(H304,CARTON_LOOKUP!$A:$E,4,0),"")</f>
      </c>
      <c r="K304" s="30">
        <f>IFERROR(VLOOKUP(H304,CARTON_LOOKUP!$A:$E,5,0),"")</f>
      </c>
      <c r="L304" s="31">
        <f>IFERROR(VLOOKUP(H304,CARTON_LOOKUP!$A:$E,2,0),"")</f>
      </c>
      <c r="M304" t="s">
        <v>101</v>
      </c>
      <c r="N304" t="s">
        <v>102</v>
      </c>
      <c r="O304" t="s">
        <v>103</v>
      </c>
    </row>
    <row r="305" spans="1:16" x14ac:dyDescent="0.25">
      <c r="A305" s="14"/>
      <c r="B305" s="28"/>
      <c r="C305" s="28"/>
      <c r="D305" t="s">
        <v>100</v>
      </c>
      <c r="E305" t="s">
        <v>50</v>
      </c>
      <c r="F305">
        <v>1</v>
      </c>
      <c r="G305" s="29">
        <v>0.21</v>
      </c>
      <c r="H305" t="s">
        <v>30</v>
      </c>
      <c r="I305" s="30">
        <f>IFERROR(VLOOKUP(H305,CARTON_LOOKUP!$A:$E,3,0),"")</f>
      </c>
      <c r="J305" s="30">
        <f>IFERROR(VLOOKUP(H305,CARTON_LOOKUP!$A:$E,4,0),"")</f>
      </c>
      <c r="K305" s="30">
        <f>IFERROR(VLOOKUP(H305,CARTON_LOOKUP!$A:$E,5,0),"")</f>
      </c>
      <c r="L305" s="31">
        <f>IFERROR(VLOOKUP(H305,CARTON_LOOKUP!$A:$E,2,0),"")</f>
      </c>
      <c r="M305" t="s">
        <v>101</v>
      </c>
      <c r="N305" t="s">
        <v>102</v>
      </c>
      <c r="O305" t="s">
        <v>103</v>
      </c>
    </row>
    <row r="306" spans="1:16" x14ac:dyDescent="0.25">
      <c r="A306" s="14"/>
      <c r="B306" s="28"/>
      <c r="C306" s="28"/>
      <c r="D306" t="s">
        <v>100</v>
      </c>
      <c r="E306" t="s">
        <v>50</v>
      </c>
      <c r="F306">
        <v>1</v>
      </c>
      <c r="G306" s="29">
        <v>0.21</v>
      </c>
      <c r="H306" t="s">
        <v>30</v>
      </c>
      <c r="I306" s="30">
        <f>IFERROR(VLOOKUP(H306,CARTON_LOOKUP!$A:$E,3,0),"")</f>
      </c>
      <c r="J306" s="30">
        <f>IFERROR(VLOOKUP(H306,CARTON_LOOKUP!$A:$E,4,0),"")</f>
      </c>
      <c r="K306" s="30">
        <f>IFERROR(VLOOKUP(H306,CARTON_LOOKUP!$A:$E,5,0),"")</f>
      </c>
      <c r="L306" s="31">
        <f>IFERROR(VLOOKUP(H306,CARTON_LOOKUP!$A:$E,2,0),"")</f>
      </c>
      <c r="M306" t="s">
        <v>101</v>
      </c>
      <c r="N306" t="s">
        <v>102</v>
      </c>
      <c r="O306" t="s">
        <v>103</v>
      </c>
    </row>
    <row r="307" spans="1:16" x14ac:dyDescent="0.25">
      <c r="A307" s="14"/>
      <c r="B307" s="28"/>
      <c r="C307" s="28"/>
      <c r="D307" t="s">
        <v>100</v>
      </c>
      <c r="E307" t="s">
        <v>50</v>
      </c>
      <c r="F307">
        <v>1</v>
      </c>
      <c r="G307" s="29">
        <v>0.21</v>
      </c>
      <c r="H307" t="s">
        <v>30</v>
      </c>
      <c r="I307" s="30">
        <f>IFERROR(VLOOKUP(H307,CARTON_LOOKUP!$A:$E,3,0),"")</f>
      </c>
      <c r="J307" s="30">
        <f>IFERROR(VLOOKUP(H307,CARTON_LOOKUP!$A:$E,4,0),"")</f>
      </c>
      <c r="K307" s="30">
        <f>IFERROR(VLOOKUP(H307,CARTON_LOOKUP!$A:$E,5,0),"")</f>
      </c>
      <c r="L307" s="31">
        <f>IFERROR(VLOOKUP(H307,CARTON_LOOKUP!$A:$E,2,0),"")</f>
      </c>
      <c r="M307" t="s">
        <v>101</v>
      </c>
      <c r="N307" t="s">
        <v>102</v>
      </c>
      <c r="O307" t="s">
        <v>103</v>
      </c>
    </row>
    <row r="308" spans="1:16" x14ac:dyDescent="0.25">
      <c r="A308" s="14"/>
      <c r="B308" s="28"/>
      <c r="C308" s="28"/>
      <c r="D308" t="s">
        <v>100</v>
      </c>
      <c r="E308" t="s">
        <v>50</v>
      </c>
      <c r="F308">
        <v>1</v>
      </c>
      <c r="G308" s="29">
        <v>0.21</v>
      </c>
      <c r="H308" t="s">
        <v>30</v>
      </c>
      <c r="I308" s="30">
        <f>IFERROR(VLOOKUP(H308,CARTON_LOOKUP!$A:$E,3,0),"")</f>
      </c>
      <c r="J308" s="30">
        <f>IFERROR(VLOOKUP(H308,CARTON_LOOKUP!$A:$E,4,0),"")</f>
      </c>
      <c r="K308" s="30">
        <f>IFERROR(VLOOKUP(H308,CARTON_LOOKUP!$A:$E,5,0),"")</f>
      </c>
      <c r="L308" s="31">
        <f>IFERROR(VLOOKUP(H308,CARTON_LOOKUP!$A:$E,2,0),"")</f>
      </c>
      <c r="M308" t="s">
        <v>101</v>
      </c>
      <c r="N308" t="s">
        <v>102</v>
      </c>
      <c r="O308" t="s">
        <v>103</v>
      </c>
    </row>
    <row r="309" spans="1:16" x14ac:dyDescent="0.25">
      <c r="A309" s="14"/>
      <c r="B309" s="28"/>
      <c r="C309" s="28"/>
      <c r="D309" t="s">
        <v>100</v>
      </c>
      <c r="E309" t="s">
        <v>50</v>
      </c>
      <c r="F309">
        <v>1</v>
      </c>
      <c r="G309" s="29">
        <v>0.21</v>
      </c>
      <c r="H309" t="s">
        <v>30</v>
      </c>
      <c r="I309" s="30">
        <f>IFERROR(VLOOKUP(H309,CARTON_LOOKUP!$A:$E,3,0),"")</f>
      </c>
      <c r="J309" s="30">
        <f>IFERROR(VLOOKUP(H309,CARTON_LOOKUP!$A:$E,4,0),"")</f>
      </c>
      <c r="K309" s="30">
        <f>IFERROR(VLOOKUP(H309,CARTON_LOOKUP!$A:$E,5,0),"")</f>
      </c>
      <c r="L309" s="31">
        <f>IFERROR(VLOOKUP(H309,CARTON_LOOKUP!$A:$E,2,0),"")</f>
      </c>
      <c r="M309" t="s">
        <v>101</v>
      </c>
      <c r="N309" t="s">
        <v>102</v>
      </c>
      <c r="O309" t="s">
        <v>103</v>
      </c>
    </row>
    <row r="310" spans="1:16" x14ac:dyDescent="0.25">
      <c r="A310" s="14"/>
      <c r="B310" s="28"/>
      <c r="C310" s="28"/>
      <c r="D310" t="s">
        <v>100</v>
      </c>
      <c r="E310" t="s">
        <v>50</v>
      </c>
      <c r="F310">
        <v>1</v>
      </c>
      <c r="G310" s="29">
        <v>0.21</v>
      </c>
      <c r="H310" t="s">
        <v>30</v>
      </c>
      <c r="I310" s="30">
        <f>IFERROR(VLOOKUP(H310,CARTON_LOOKUP!$A:$E,3,0),"")</f>
      </c>
      <c r="J310" s="30">
        <f>IFERROR(VLOOKUP(H310,CARTON_LOOKUP!$A:$E,4,0),"")</f>
      </c>
      <c r="K310" s="30">
        <f>IFERROR(VLOOKUP(H310,CARTON_LOOKUP!$A:$E,5,0),"")</f>
      </c>
      <c r="L310" s="31">
        <f>IFERROR(VLOOKUP(H310,CARTON_LOOKUP!$A:$E,2,0),"")</f>
      </c>
      <c r="M310" t="s">
        <v>101</v>
      </c>
      <c r="N310" t="s">
        <v>102</v>
      </c>
      <c r="O310" t="s">
        <v>103</v>
      </c>
    </row>
    <row r="311" spans="1:16" x14ac:dyDescent="0.25">
      <c r="A311" s="14"/>
      <c r="B311" s="28"/>
      <c r="C311" s="28"/>
      <c r="D311" t="s">
        <v>100</v>
      </c>
      <c r="E311" t="s">
        <v>50</v>
      </c>
      <c r="F311">
        <v>1</v>
      </c>
      <c r="G311" s="29">
        <v>0.21</v>
      </c>
      <c r="H311" t="s">
        <v>30</v>
      </c>
      <c r="I311" s="30">
        <f>IFERROR(VLOOKUP(H311,CARTON_LOOKUP!$A:$E,3,0),"")</f>
      </c>
      <c r="J311" s="30">
        <f>IFERROR(VLOOKUP(H311,CARTON_LOOKUP!$A:$E,4,0),"")</f>
      </c>
      <c r="K311" s="30">
        <f>IFERROR(VLOOKUP(H311,CARTON_LOOKUP!$A:$E,5,0),"")</f>
      </c>
      <c r="L311" s="31">
        <f>IFERROR(VLOOKUP(H311,CARTON_LOOKUP!$A:$E,2,0),"")</f>
      </c>
      <c r="M311" t="s">
        <v>101</v>
      </c>
      <c r="N311" t="s">
        <v>102</v>
      </c>
      <c r="O311" t="s">
        <v>103</v>
      </c>
    </row>
    <row r="312" spans="1:16" x14ac:dyDescent="0.25">
      <c r="A312" s="14"/>
      <c r="B312" s="28"/>
      <c r="C312" s="28"/>
      <c r="D312" t="s">
        <v>100</v>
      </c>
      <c r="E312" t="s">
        <v>50</v>
      </c>
      <c r="F312">
        <v>1</v>
      </c>
      <c r="G312" s="29">
        <v>0.21</v>
      </c>
      <c r="H312" t="s">
        <v>30</v>
      </c>
      <c r="I312" s="30">
        <f>IFERROR(VLOOKUP(H312,CARTON_LOOKUP!$A:$E,3,0),"")</f>
      </c>
      <c r="J312" s="30">
        <f>IFERROR(VLOOKUP(H312,CARTON_LOOKUP!$A:$E,4,0),"")</f>
      </c>
      <c r="K312" s="30">
        <f>IFERROR(VLOOKUP(H312,CARTON_LOOKUP!$A:$E,5,0),"")</f>
      </c>
      <c r="L312" s="31">
        <f>IFERROR(VLOOKUP(H312,CARTON_LOOKUP!$A:$E,2,0),"")</f>
      </c>
      <c r="M312" t="s">
        <v>101</v>
      </c>
      <c r="N312" t="s">
        <v>102</v>
      </c>
      <c r="O312" t="s">
        <v>103</v>
      </c>
    </row>
    <row r="313" spans="1:16" x14ac:dyDescent="0.25">
      <c r="A313" s="14"/>
      <c r="B313" s="28"/>
      <c r="C313" s="28"/>
      <c r="D313" t="s">
        <v>100</v>
      </c>
      <c r="E313" t="s">
        <v>50</v>
      </c>
      <c r="F313">
        <v>1</v>
      </c>
      <c r="G313" s="29">
        <v>0.21</v>
      </c>
      <c r="H313" t="s">
        <v>30</v>
      </c>
      <c r="I313" s="30">
        <f>IFERROR(VLOOKUP(H313,CARTON_LOOKUP!$A:$E,3,0),"")</f>
      </c>
      <c r="J313" s="30">
        <f>IFERROR(VLOOKUP(H313,CARTON_LOOKUP!$A:$E,4,0),"")</f>
      </c>
      <c r="K313" s="30">
        <f>IFERROR(VLOOKUP(H313,CARTON_LOOKUP!$A:$E,5,0),"")</f>
      </c>
      <c r="L313" s="31">
        <f>IFERROR(VLOOKUP(H313,CARTON_LOOKUP!$A:$E,2,0),"")</f>
      </c>
      <c r="M313" t="s">
        <v>101</v>
      </c>
      <c r="N313" t="s">
        <v>102</v>
      </c>
      <c r="O313" t="s">
        <v>103</v>
      </c>
    </row>
    <row r="314" spans="1:16" x14ac:dyDescent="0.25">
      <c r="A314" s="14"/>
      <c r="B314" s="28"/>
      <c r="C314" s="28"/>
      <c r="D314" t="s">
        <v>100</v>
      </c>
      <c r="E314" t="s">
        <v>50</v>
      </c>
      <c r="F314">
        <v>1</v>
      </c>
      <c r="G314" s="29">
        <v>0.21</v>
      </c>
      <c r="H314" t="s">
        <v>30</v>
      </c>
      <c r="I314" s="30">
        <f>IFERROR(VLOOKUP(H314,CARTON_LOOKUP!$A:$E,3,0),"")</f>
      </c>
      <c r="J314" s="30">
        <f>IFERROR(VLOOKUP(H314,CARTON_LOOKUP!$A:$E,4,0),"")</f>
      </c>
      <c r="K314" s="30">
        <f>IFERROR(VLOOKUP(H314,CARTON_LOOKUP!$A:$E,5,0),"")</f>
      </c>
      <c r="L314" s="31">
        <f>IFERROR(VLOOKUP(H314,CARTON_LOOKUP!$A:$E,2,0),"")</f>
      </c>
      <c r="M314" t="s">
        <v>101</v>
      </c>
      <c r="N314" t="s">
        <v>102</v>
      </c>
      <c r="O314" t="s">
        <v>103</v>
      </c>
    </row>
    <row r="315" spans="1:16" x14ac:dyDescent="0.25">
      <c r="A315" s="14"/>
      <c r="B315" s="28"/>
      <c r="C315" s="28"/>
      <c r="D315" t="s">
        <v>100</v>
      </c>
      <c r="E315" t="s">
        <v>50</v>
      </c>
      <c r="F315">
        <v>1</v>
      </c>
      <c r="G315" s="29">
        <v>0.21</v>
      </c>
      <c r="H315" t="s">
        <v>30</v>
      </c>
      <c r="I315" s="30">
        <f>IFERROR(VLOOKUP(H315,CARTON_LOOKUP!$A:$E,3,0),"")</f>
      </c>
      <c r="J315" s="30">
        <f>IFERROR(VLOOKUP(H315,CARTON_LOOKUP!$A:$E,4,0),"")</f>
      </c>
      <c r="K315" s="30">
        <f>IFERROR(VLOOKUP(H315,CARTON_LOOKUP!$A:$E,5,0),"")</f>
      </c>
      <c r="L315" s="31">
        <f>IFERROR(VLOOKUP(H315,CARTON_LOOKUP!$A:$E,2,0),"")</f>
      </c>
      <c r="M315" t="s">
        <v>101</v>
      </c>
      <c r="N315" t="s">
        <v>102</v>
      </c>
      <c r="O315" t="s">
        <v>103</v>
      </c>
    </row>
    <row r="316" spans="1:16" x14ac:dyDescent="0.25">
      <c r="A316" s="14"/>
      <c r="B316" s="28"/>
      <c r="C316" s="28"/>
      <c r="D316" t="s">
        <v>100</v>
      </c>
      <c r="E316" t="s">
        <v>50</v>
      </c>
      <c r="F316">
        <v>1</v>
      </c>
      <c r="G316" s="29">
        <v>0.21</v>
      </c>
      <c r="H316" t="s">
        <v>30</v>
      </c>
      <c r="I316" s="30">
        <f>IFERROR(VLOOKUP(H316,CARTON_LOOKUP!$A:$E,3,0),"")</f>
      </c>
      <c r="J316" s="30">
        <f>IFERROR(VLOOKUP(H316,CARTON_LOOKUP!$A:$E,4,0),"")</f>
      </c>
      <c r="K316" s="30">
        <f>IFERROR(VLOOKUP(H316,CARTON_LOOKUP!$A:$E,5,0),"")</f>
      </c>
      <c r="L316" s="31">
        <f>IFERROR(VLOOKUP(H316,CARTON_LOOKUP!$A:$E,2,0),"")</f>
      </c>
      <c r="M316" t="s">
        <v>101</v>
      </c>
      <c r="N316" t="s">
        <v>102</v>
      </c>
      <c r="O316" t="s">
        <v>103</v>
      </c>
    </row>
    <row r="317" spans="1:16" x14ac:dyDescent="0.25">
      <c r="A317" s="14"/>
      <c r="B317" s="28"/>
      <c r="C317" s="28"/>
      <c r="D317" t="s">
        <v>100</v>
      </c>
      <c r="E317" t="s">
        <v>50</v>
      </c>
      <c r="F317">
        <v>1</v>
      </c>
      <c r="G317" s="29">
        <v>0.21</v>
      </c>
      <c r="H317" t="s">
        <v>30</v>
      </c>
      <c r="I317" s="30">
        <f>IFERROR(VLOOKUP(H317,CARTON_LOOKUP!$A:$E,3,0),"")</f>
      </c>
      <c r="J317" s="30">
        <f>IFERROR(VLOOKUP(H317,CARTON_LOOKUP!$A:$E,4,0),"")</f>
      </c>
      <c r="K317" s="30">
        <f>IFERROR(VLOOKUP(H317,CARTON_LOOKUP!$A:$E,5,0),"")</f>
      </c>
      <c r="L317" s="31">
        <f>IFERROR(VLOOKUP(H317,CARTON_LOOKUP!$A:$E,2,0),"")</f>
      </c>
      <c r="M317" t="s">
        <v>101</v>
      </c>
      <c r="N317" t="s">
        <v>102</v>
      </c>
      <c r="O317" t="s">
        <v>103</v>
      </c>
    </row>
    <row r="318" spans="1:16" x14ac:dyDescent="0.25">
      <c r="A318" s="14"/>
      <c r="B318" s="28"/>
      <c r="C318" s="28"/>
      <c r="D318" t="s">
        <v>100</v>
      </c>
      <c r="E318" t="s">
        <v>50</v>
      </c>
      <c r="F318">
        <v>1</v>
      </c>
      <c r="G318" s="29">
        <v>0.21</v>
      </c>
      <c r="H318" t="s">
        <v>30</v>
      </c>
      <c r="I318" s="30">
        <f>IFERROR(VLOOKUP(H318,CARTON_LOOKUP!$A:$E,3,0),"")</f>
      </c>
      <c r="J318" s="30">
        <f>IFERROR(VLOOKUP(H318,CARTON_LOOKUP!$A:$E,4,0),"")</f>
      </c>
      <c r="K318" s="30">
        <f>IFERROR(VLOOKUP(H318,CARTON_LOOKUP!$A:$E,5,0),"")</f>
      </c>
      <c r="L318" s="31">
        <f>IFERROR(VLOOKUP(H318,CARTON_LOOKUP!$A:$E,2,0),"")</f>
      </c>
      <c r="M318" t="s">
        <v>101</v>
      </c>
      <c r="N318" t="s">
        <v>102</v>
      </c>
      <c r="O318" t="s">
        <v>103</v>
      </c>
    </row>
    <row r="319" spans="1:16" x14ac:dyDescent="0.25">
      <c r="A319" s="14"/>
      <c r="B319" s="28"/>
      <c r="C319" s="28"/>
      <c r="D319" t="s">
        <v>100</v>
      </c>
      <c r="E319" t="s">
        <v>50</v>
      </c>
      <c r="F319">
        <v>1</v>
      </c>
      <c r="G319" s="29">
        <v>0.21</v>
      </c>
      <c r="H319" t="s">
        <v>30</v>
      </c>
      <c r="I319" s="30">
        <f>IFERROR(VLOOKUP(H319,CARTON_LOOKUP!$A:$E,3,0),"")</f>
      </c>
      <c r="J319" s="30">
        <f>IFERROR(VLOOKUP(H319,CARTON_LOOKUP!$A:$E,4,0),"")</f>
      </c>
      <c r="K319" s="30">
        <f>IFERROR(VLOOKUP(H319,CARTON_LOOKUP!$A:$E,5,0),"")</f>
      </c>
      <c r="L319" s="31">
        <f>IFERROR(VLOOKUP(H319,CARTON_LOOKUP!$A:$E,2,0),"")</f>
      </c>
      <c r="M319" t="s">
        <v>101</v>
      </c>
      <c r="N319" t="s">
        <v>102</v>
      </c>
      <c r="O319" t="s">
        <v>103</v>
      </c>
    </row>
    <row r="320" spans="1:16" x14ac:dyDescent="0.25">
      <c r="A320" s="14"/>
      <c r="B320" s="28"/>
      <c r="C320" s="28"/>
      <c r="D320" t="s">
        <v>100</v>
      </c>
      <c r="E320" t="s">
        <v>50</v>
      </c>
      <c r="F320">
        <v>1</v>
      </c>
      <c r="G320" s="29">
        <v>0.21</v>
      </c>
      <c r="H320" t="s">
        <v>30</v>
      </c>
      <c r="I320" s="30">
        <f>IFERROR(VLOOKUP(H320,CARTON_LOOKUP!$A:$E,3,0),"")</f>
      </c>
      <c r="J320" s="30">
        <f>IFERROR(VLOOKUP(H320,CARTON_LOOKUP!$A:$E,4,0),"")</f>
      </c>
      <c r="K320" s="30">
        <f>IFERROR(VLOOKUP(H320,CARTON_LOOKUP!$A:$E,5,0),"")</f>
      </c>
      <c r="L320" s="31">
        <f>IFERROR(VLOOKUP(H320,CARTON_LOOKUP!$A:$E,2,0),"")</f>
      </c>
      <c r="M320" t="s">
        <v>101</v>
      </c>
      <c r="N320" t="s">
        <v>102</v>
      </c>
      <c r="O320" t="s">
        <v>103</v>
      </c>
    </row>
    <row r="321" spans="1:16" x14ac:dyDescent="0.25">
      <c r="A321" s="14"/>
      <c r="B321" s="28"/>
      <c r="C321" s="28"/>
      <c r="D321" t="s">
        <v>100</v>
      </c>
      <c r="E321" t="s">
        <v>50</v>
      </c>
      <c r="F321">
        <v>1</v>
      </c>
      <c r="G321" s="29">
        <v>0.21</v>
      </c>
      <c r="H321" t="s">
        <v>30</v>
      </c>
      <c r="I321" s="30">
        <f>IFERROR(VLOOKUP(H321,CARTON_LOOKUP!$A:$E,3,0),"")</f>
      </c>
      <c r="J321" s="30">
        <f>IFERROR(VLOOKUP(H321,CARTON_LOOKUP!$A:$E,4,0),"")</f>
      </c>
      <c r="K321" s="30">
        <f>IFERROR(VLOOKUP(H321,CARTON_LOOKUP!$A:$E,5,0),"")</f>
      </c>
      <c r="L321" s="31">
        <f>IFERROR(VLOOKUP(H321,CARTON_LOOKUP!$A:$E,2,0),"")</f>
      </c>
      <c r="M321" t="s">
        <v>101</v>
      </c>
      <c r="N321" t="s">
        <v>102</v>
      </c>
      <c r="O321" t="s">
        <v>103</v>
      </c>
    </row>
    <row r="322" spans="1:16" x14ac:dyDescent="0.25">
      <c r="A322" s="14"/>
      <c r="B322" s="28"/>
      <c r="C322" s="28"/>
      <c r="D322" t="s">
        <v>100</v>
      </c>
      <c r="E322" t="s">
        <v>50</v>
      </c>
      <c r="F322">
        <v>1</v>
      </c>
      <c r="G322" s="29">
        <v>0.21</v>
      </c>
      <c r="H322" t="s">
        <v>30</v>
      </c>
      <c r="I322" s="30">
        <f>IFERROR(VLOOKUP(H322,CARTON_LOOKUP!$A:$E,3,0),"")</f>
      </c>
      <c r="J322" s="30">
        <f>IFERROR(VLOOKUP(H322,CARTON_LOOKUP!$A:$E,4,0),"")</f>
      </c>
      <c r="K322" s="30">
        <f>IFERROR(VLOOKUP(H322,CARTON_LOOKUP!$A:$E,5,0),"")</f>
      </c>
      <c r="L322" s="31">
        <f>IFERROR(VLOOKUP(H322,CARTON_LOOKUP!$A:$E,2,0),"")</f>
      </c>
      <c r="M322" t="s">
        <v>101</v>
      </c>
      <c r="N322" t="s">
        <v>102</v>
      </c>
      <c r="O322" t="s">
        <v>103</v>
      </c>
    </row>
    <row r="323" spans="1:16" x14ac:dyDescent="0.25">
      <c r="A323" s="14"/>
      <c r="B323" s="28"/>
      <c r="C323" s="28"/>
      <c r="D323" t="s">
        <v>100</v>
      </c>
      <c r="E323" t="s">
        <v>50</v>
      </c>
      <c r="F323">
        <v>1</v>
      </c>
      <c r="G323" s="29">
        <v>0.21</v>
      </c>
      <c r="H323" t="s">
        <v>30</v>
      </c>
      <c r="I323" s="30">
        <f>IFERROR(VLOOKUP(H323,CARTON_LOOKUP!$A:$E,3,0),"")</f>
      </c>
      <c r="J323" s="30">
        <f>IFERROR(VLOOKUP(H323,CARTON_LOOKUP!$A:$E,4,0),"")</f>
      </c>
      <c r="K323" s="30">
        <f>IFERROR(VLOOKUP(H323,CARTON_LOOKUP!$A:$E,5,0),"")</f>
      </c>
      <c r="L323" s="31">
        <f>IFERROR(VLOOKUP(H323,CARTON_LOOKUP!$A:$E,2,0),"")</f>
      </c>
      <c r="M323" t="s">
        <v>101</v>
      </c>
      <c r="N323" t="s">
        <v>102</v>
      </c>
      <c r="O323" t="s">
        <v>103</v>
      </c>
    </row>
    <row r="324" spans="1:16" x14ac:dyDescent="0.25">
      <c r="A324" s="14"/>
      <c r="B324" s="28"/>
      <c r="C324" s="28"/>
      <c r="D324" t="s">
        <v>100</v>
      </c>
      <c r="E324" t="s">
        <v>50</v>
      </c>
      <c r="F324">
        <v>1</v>
      </c>
      <c r="G324" s="29">
        <v>0.21</v>
      </c>
      <c r="H324" t="s">
        <v>30</v>
      </c>
      <c r="I324" s="30">
        <f>IFERROR(VLOOKUP(H324,CARTON_LOOKUP!$A:$E,3,0),"")</f>
      </c>
      <c r="J324" s="30">
        <f>IFERROR(VLOOKUP(H324,CARTON_LOOKUP!$A:$E,4,0),"")</f>
      </c>
      <c r="K324" s="30">
        <f>IFERROR(VLOOKUP(H324,CARTON_LOOKUP!$A:$E,5,0),"")</f>
      </c>
      <c r="L324" s="31">
        <f>IFERROR(VLOOKUP(H324,CARTON_LOOKUP!$A:$E,2,0),"")</f>
      </c>
      <c r="M324" t="s">
        <v>101</v>
      </c>
      <c r="N324" t="s">
        <v>102</v>
      </c>
      <c r="O324" t="s">
        <v>103</v>
      </c>
    </row>
    <row r="325" spans="1:16" x14ac:dyDescent="0.25">
      <c r="A325" s="14"/>
      <c r="B325" s="28"/>
      <c r="C325" s="28"/>
      <c r="D325" t="s">
        <v>100</v>
      </c>
      <c r="E325" t="s">
        <v>50</v>
      </c>
      <c r="F325">
        <v>1</v>
      </c>
      <c r="G325" s="29">
        <v>0.21</v>
      </c>
      <c r="H325" t="s">
        <v>30</v>
      </c>
      <c r="I325" s="30">
        <f>IFERROR(VLOOKUP(H325,CARTON_LOOKUP!$A:$E,3,0),"")</f>
      </c>
      <c r="J325" s="30">
        <f>IFERROR(VLOOKUP(H325,CARTON_LOOKUP!$A:$E,4,0),"")</f>
      </c>
      <c r="K325" s="30">
        <f>IFERROR(VLOOKUP(H325,CARTON_LOOKUP!$A:$E,5,0),"")</f>
      </c>
      <c r="L325" s="31">
        <f>IFERROR(VLOOKUP(H325,CARTON_LOOKUP!$A:$E,2,0),"")</f>
      </c>
      <c r="M325" t="s">
        <v>101</v>
      </c>
      <c r="N325" t="s">
        <v>102</v>
      </c>
      <c r="O325" t="s">
        <v>103</v>
      </c>
    </row>
    <row r="326" spans="1:16" x14ac:dyDescent="0.25">
      <c r="A326" s="14"/>
      <c r="B326" s="28"/>
      <c r="C326" s="28"/>
      <c r="D326" t="s">
        <v>100</v>
      </c>
      <c r="E326" t="s">
        <v>50</v>
      </c>
      <c r="F326">
        <v>1</v>
      </c>
      <c r="G326" s="29">
        <v>0.21</v>
      </c>
      <c r="H326" t="s">
        <v>30</v>
      </c>
      <c r="I326" s="30">
        <f>IFERROR(VLOOKUP(H326,CARTON_LOOKUP!$A:$E,3,0),"")</f>
      </c>
      <c r="J326" s="30">
        <f>IFERROR(VLOOKUP(H326,CARTON_LOOKUP!$A:$E,4,0),"")</f>
      </c>
      <c r="K326" s="30">
        <f>IFERROR(VLOOKUP(H326,CARTON_LOOKUP!$A:$E,5,0),"")</f>
      </c>
      <c r="L326" s="31">
        <f>IFERROR(VLOOKUP(H326,CARTON_LOOKUP!$A:$E,2,0),"")</f>
      </c>
      <c r="M326" t="s">
        <v>101</v>
      </c>
      <c r="N326" t="s">
        <v>102</v>
      </c>
      <c r="O326" t="s">
        <v>103</v>
      </c>
    </row>
    <row r="327" spans="1:16" x14ac:dyDescent="0.25">
      <c r="A327" s="14"/>
      <c r="B327" s="28"/>
      <c r="C327" s="28"/>
      <c r="D327" t="s">
        <v>100</v>
      </c>
      <c r="E327" t="s">
        <v>50</v>
      </c>
      <c r="F327">
        <v>1</v>
      </c>
      <c r="G327" s="29">
        <v>0.21</v>
      </c>
      <c r="H327" t="s">
        <v>30</v>
      </c>
      <c r="I327" s="30">
        <f>IFERROR(VLOOKUP(H327,CARTON_LOOKUP!$A:$E,3,0),"")</f>
      </c>
      <c r="J327" s="30">
        <f>IFERROR(VLOOKUP(H327,CARTON_LOOKUP!$A:$E,4,0),"")</f>
      </c>
      <c r="K327" s="30">
        <f>IFERROR(VLOOKUP(H327,CARTON_LOOKUP!$A:$E,5,0),"")</f>
      </c>
      <c r="L327" s="31">
        <f>IFERROR(VLOOKUP(H327,CARTON_LOOKUP!$A:$E,2,0),"")</f>
      </c>
      <c r="M327" t="s">
        <v>101</v>
      </c>
      <c r="N327" t="s">
        <v>102</v>
      </c>
      <c r="O327" t="s">
        <v>103</v>
      </c>
    </row>
    <row r="328" spans="1:16" x14ac:dyDescent="0.25">
      <c r="A328" s="14"/>
      <c r="B328" s="28"/>
      <c r="C328" s="28"/>
      <c r="D328" t="s">
        <v>100</v>
      </c>
      <c r="E328" t="s">
        <v>50</v>
      </c>
      <c r="F328">
        <v>1</v>
      </c>
      <c r="G328" s="29">
        <v>0.21</v>
      </c>
      <c r="H328" t="s">
        <v>30</v>
      </c>
      <c r="I328" s="30">
        <f>IFERROR(VLOOKUP(H328,CARTON_LOOKUP!$A:$E,3,0),"")</f>
      </c>
      <c r="J328" s="30">
        <f>IFERROR(VLOOKUP(H328,CARTON_LOOKUP!$A:$E,4,0),"")</f>
      </c>
      <c r="K328" s="30">
        <f>IFERROR(VLOOKUP(H328,CARTON_LOOKUP!$A:$E,5,0),"")</f>
      </c>
      <c r="L328" s="31">
        <f>IFERROR(VLOOKUP(H328,CARTON_LOOKUP!$A:$E,2,0),"")</f>
      </c>
      <c r="M328" t="s">
        <v>101</v>
      </c>
      <c r="N328" t="s">
        <v>102</v>
      </c>
      <c r="O328" t="s">
        <v>103</v>
      </c>
    </row>
    <row r="329" spans="1:16" x14ac:dyDescent="0.25">
      <c r="A329" s="14"/>
      <c r="B329" s="28"/>
      <c r="C329" s="28"/>
      <c r="D329" t="s">
        <v>100</v>
      </c>
      <c r="E329" t="s">
        <v>50</v>
      </c>
      <c r="F329">
        <v>1</v>
      </c>
      <c r="G329" s="29">
        <v>0.21</v>
      </c>
      <c r="H329" t="s">
        <v>30</v>
      </c>
      <c r="I329" s="30">
        <f>IFERROR(VLOOKUP(H329,CARTON_LOOKUP!$A:$E,3,0),"")</f>
      </c>
      <c r="J329" s="30">
        <f>IFERROR(VLOOKUP(H329,CARTON_LOOKUP!$A:$E,4,0),"")</f>
      </c>
      <c r="K329" s="30">
        <f>IFERROR(VLOOKUP(H329,CARTON_LOOKUP!$A:$E,5,0),"")</f>
      </c>
      <c r="L329" s="31">
        <f>IFERROR(VLOOKUP(H329,CARTON_LOOKUP!$A:$E,2,0),"")</f>
      </c>
      <c r="M329" t="s">
        <v>101</v>
      </c>
      <c r="N329" t="s">
        <v>102</v>
      </c>
      <c r="O329" t="s">
        <v>103</v>
      </c>
    </row>
    <row r="330" spans="1:16" x14ac:dyDescent="0.25">
      <c r="A330" s="14"/>
      <c r="B330" s="28"/>
      <c r="C330" s="28"/>
      <c r="D330" t="s">
        <v>100</v>
      </c>
      <c r="E330" t="s">
        <v>50</v>
      </c>
      <c r="F330">
        <v>1</v>
      </c>
      <c r="G330" s="29">
        <v>0.21</v>
      </c>
      <c r="H330" t="s">
        <v>30</v>
      </c>
      <c r="I330" s="30">
        <f>IFERROR(VLOOKUP(H330,CARTON_LOOKUP!$A:$E,3,0),"")</f>
      </c>
      <c r="J330" s="30">
        <f>IFERROR(VLOOKUP(H330,CARTON_LOOKUP!$A:$E,4,0),"")</f>
      </c>
      <c r="K330" s="30">
        <f>IFERROR(VLOOKUP(H330,CARTON_LOOKUP!$A:$E,5,0),"")</f>
      </c>
      <c r="L330" s="31">
        <f>IFERROR(VLOOKUP(H330,CARTON_LOOKUP!$A:$E,2,0),"")</f>
      </c>
      <c r="M330" t="s">
        <v>101</v>
      </c>
      <c r="N330" t="s">
        <v>102</v>
      </c>
      <c r="O330" t="s">
        <v>103</v>
      </c>
    </row>
    <row r="331" spans="1:16" x14ac:dyDescent="0.25">
      <c r="A331" s="14"/>
      <c r="B331" s="28"/>
      <c r="C331" s="28"/>
      <c r="D331" t="s">
        <v>100</v>
      </c>
      <c r="E331" t="s">
        <v>50</v>
      </c>
      <c r="F331">
        <v>1</v>
      </c>
      <c r="G331" s="29">
        <v>0.21</v>
      </c>
      <c r="H331" t="s">
        <v>30</v>
      </c>
      <c r="I331" s="30">
        <f>IFERROR(VLOOKUP(H331,CARTON_LOOKUP!$A:$E,3,0),"")</f>
      </c>
      <c r="J331" s="30">
        <f>IFERROR(VLOOKUP(H331,CARTON_LOOKUP!$A:$E,4,0),"")</f>
      </c>
      <c r="K331" s="30">
        <f>IFERROR(VLOOKUP(H331,CARTON_LOOKUP!$A:$E,5,0),"")</f>
      </c>
      <c r="L331" s="31">
        <f>IFERROR(VLOOKUP(H331,CARTON_LOOKUP!$A:$E,2,0),"")</f>
      </c>
      <c r="M331" t="s">
        <v>101</v>
      </c>
      <c r="N331" t="s">
        <v>102</v>
      </c>
      <c r="O331" t="s">
        <v>103</v>
      </c>
    </row>
    <row r="332" spans="1:16" x14ac:dyDescent="0.25">
      <c r="A332" s="14"/>
      <c r="B332" s="28"/>
      <c r="C332" s="28"/>
      <c r="D332" t="s">
        <v>100</v>
      </c>
      <c r="E332" t="s">
        <v>50</v>
      </c>
      <c r="F332">
        <v>1</v>
      </c>
      <c r="G332" s="29">
        <v>0.21</v>
      </c>
      <c r="H332" t="s">
        <v>30</v>
      </c>
      <c r="I332" s="30">
        <f>IFERROR(VLOOKUP(H332,CARTON_LOOKUP!$A:$E,3,0),"")</f>
      </c>
      <c r="J332" s="30">
        <f>IFERROR(VLOOKUP(H332,CARTON_LOOKUP!$A:$E,4,0),"")</f>
      </c>
      <c r="K332" s="30">
        <f>IFERROR(VLOOKUP(H332,CARTON_LOOKUP!$A:$E,5,0),"")</f>
      </c>
      <c r="L332" s="31">
        <f>IFERROR(VLOOKUP(H332,CARTON_LOOKUP!$A:$E,2,0),"")</f>
      </c>
      <c r="M332" t="s">
        <v>101</v>
      </c>
      <c r="N332" t="s">
        <v>102</v>
      </c>
      <c r="O332" t="s">
        <v>103</v>
      </c>
    </row>
    <row r="333" spans="1:16" x14ac:dyDescent="0.25">
      <c r="A333" s="14"/>
      <c r="B333" s="28"/>
      <c r="C333" s="28"/>
      <c r="D333" t="s">
        <v>100</v>
      </c>
      <c r="E333" t="s">
        <v>50</v>
      </c>
      <c r="F333">
        <v>1</v>
      </c>
      <c r="G333" s="29">
        <v>0.21</v>
      </c>
      <c r="H333" t="s">
        <v>30</v>
      </c>
      <c r="I333" s="30">
        <f>IFERROR(VLOOKUP(H333,CARTON_LOOKUP!$A:$E,3,0),"")</f>
      </c>
      <c r="J333" s="30">
        <f>IFERROR(VLOOKUP(H333,CARTON_LOOKUP!$A:$E,4,0),"")</f>
      </c>
      <c r="K333" s="30">
        <f>IFERROR(VLOOKUP(H333,CARTON_LOOKUP!$A:$E,5,0),"")</f>
      </c>
      <c r="L333" s="31">
        <f>IFERROR(VLOOKUP(H333,CARTON_LOOKUP!$A:$E,2,0),"")</f>
      </c>
      <c r="M333" t="s">
        <v>101</v>
      </c>
      <c r="N333" t="s">
        <v>102</v>
      </c>
      <c r="O333" t="s">
        <v>103</v>
      </c>
    </row>
    <row r="334" spans="1:16" x14ac:dyDescent="0.25">
      <c r="A334" s="14"/>
      <c r="B334" s="28"/>
      <c r="C334" s="28"/>
      <c r="D334" t="s">
        <v>100</v>
      </c>
      <c r="E334" t="s">
        <v>50</v>
      </c>
      <c r="F334">
        <v>1</v>
      </c>
      <c r="G334" s="29">
        <v>0.21</v>
      </c>
      <c r="H334" t="s">
        <v>30</v>
      </c>
      <c r="I334" s="30">
        <f>IFERROR(VLOOKUP(H334,CARTON_LOOKUP!$A:$E,3,0),"")</f>
      </c>
      <c r="J334" s="30">
        <f>IFERROR(VLOOKUP(H334,CARTON_LOOKUP!$A:$E,4,0),"")</f>
      </c>
      <c r="K334" s="30">
        <f>IFERROR(VLOOKUP(H334,CARTON_LOOKUP!$A:$E,5,0),"")</f>
      </c>
      <c r="L334" s="31">
        <f>IFERROR(VLOOKUP(H334,CARTON_LOOKUP!$A:$E,2,0),"")</f>
      </c>
      <c r="M334" t="s">
        <v>101</v>
      </c>
      <c r="N334" t="s">
        <v>102</v>
      </c>
      <c r="O334" t="s">
        <v>103</v>
      </c>
    </row>
    <row r="335" spans="1:16" x14ac:dyDescent="0.25">
      <c r="A335" s="14"/>
      <c r="B335" s="28"/>
      <c r="C335" s="28"/>
      <c r="D335" t="s">
        <v>100</v>
      </c>
      <c r="E335" t="s">
        <v>50</v>
      </c>
      <c r="F335">
        <v>1</v>
      </c>
      <c r="G335" s="29">
        <v>0.21</v>
      </c>
      <c r="H335" t="s">
        <v>30</v>
      </c>
      <c r="I335" s="30">
        <f>IFERROR(VLOOKUP(H335,CARTON_LOOKUP!$A:$E,3,0),"")</f>
      </c>
      <c r="J335" s="30">
        <f>IFERROR(VLOOKUP(H335,CARTON_LOOKUP!$A:$E,4,0),"")</f>
      </c>
      <c r="K335" s="30">
        <f>IFERROR(VLOOKUP(H335,CARTON_LOOKUP!$A:$E,5,0),"")</f>
      </c>
      <c r="L335" s="31">
        <f>IFERROR(VLOOKUP(H335,CARTON_LOOKUP!$A:$E,2,0),"")</f>
      </c>
      <c r="M335" t="s">
        <v>101</v>
      </c>
      <c r="N335" t="s">
        <v>102</v>
      </c>
      <c r="O335" t="s">
        <v>103</v>
      </c>
    </row>
    <row r="336" spans="1:16" x14ac:dyDescent="0.25">
      <c r="A336" s="14"/>
      <c r="B336" s="28"/>
      <c r="C336" s="28"/>
      <c r="D336" t="s">
        <v>100</v>
      </c>
      <c r="E336" t="s">
        <v>50</v>
      </c>
      <c r="F336">
        <v>1</v>
      </c>
      <c r="G336" s="29">
        <v>0.21</v>
      </c>
      <c r="H336" t="s">
        <v>30</v>
      </c>
      <c r="I336" s="30">
        <f>IFERROR(VLOOKUP(H336,CARTON_LOOKUP!$A:$E,3,0),"")</f>
      </c>
      <c r="J336" s="30">
        <f>IFERROR(VLOOKUP(H336,CARTON_LOOKUP!$A:$E,4,0),"")</f>
      </c>
      <c r="K336" s="30">
        <f>IFERROR(VLOOKUP(H336,CARTON_LOOKUP!$A:$E,5,0),"")</f>
      </c>
      <c r="L336" s="31">
        <f>IFERROR(VLOOKUP(H336,CARTON_LOOKUP!$A:$E,2,0),"")</f>
      </c>
      <c r="M336" t="s">
        <v>101</v>
      </c>
      <c r="N336" t="s">
        <v>102</v>
      </c>
      <c r="O336" t="s">
        <v>103</v>
      </c>
    </row>
    <row r="337" spans="1:16" x14ac:dyDescent="0.25">
      <c r="A337" s="14"/>
      <c r="B337" s="28"/>
      <c r="C337" s="28"/>
      <c r="D337" t="s">
        <v>100</v>
      </c>
      <c r="E337" t="s">
        <v>50</v>
      </c>
      <c r="F337">
        <v>1</v>
      </c>
      <c r="G337" s="29">
        <v>0.21</v>
      </c>
      <c r="H337" t="s">
        <v>30</v>
      </c>
      <c r="I337" s="30">
        <f>IFERROR(VLOOKUP(H337,CARTON_LOOKUP!$A:$E,3,0),"")</f>
      </c>
      <c r="J337" s="30">
        <f>IFERROR(VLOOKUP(H337,CARTON_LOOKUP!$A:$E,4,0),"")</f>
      </c>
      <c r="K337" s="30">
        <f>IFERROR(VLOOKUP(H337,CARTON_LOOKUP!$A:$E,5,0),"")</f>
      </c>
      <c r="L337" s="31">
        <f>IFERROR(VLOOKUP(H337,CARTON_LOOKUP!$A:$E,2,0),"")</f>
      </c>
      <c r="M337" t="s">
        <v>101</v>
      </c>
      <c r="N337" t="s">
        <v>102</v>
      </c>
      <c r="O337" t="s">
        <v>103</v>
      </c>
    </row>
    <row r="338" spans="1:16" x14ac:dyDescent="0.25">
      <c r="A338" s="14"/>
      <c r="B338" s="28"/>
      <c r="C338" s="28"/>
      <c r="D338" t="s">
        <v>100</v>
      </c>
      <c r="E338" t="s">
        <v>50</v>
      </c>
      <c r="F338">
        <v>1</v>
      </c>
      <c r="G338" s="29">
        <v>0.21</v>
      </c>
      <c r="H338" t="s">
        <v>30</v>
      </c>
      <c r="I338" s="30">
        <f>IFERROR(VLOOKUP(H338,CARTON_LOOKUP!$A:$E,3,0),"")</f>
      </c>
      <c r="J338" s="30">
        <f>IFERROR(VLOOKUP(H338,CARTON_LOOKUP!$A:$E,4,0),"")</f>
      </c>
      <c r="K338" s="30">
        <f>IFERROR(VLOOKUP(H338,CARTON_LOOKUP!$A:$E,5,0),"")</f>
      </c>
      <c r="L338" s="31">
        <f>IFERROR(VLOOKUP(H338,CARTON_LOOKUP!$A:$E,2,0),"")</f>
      </c>
      <c r="M338" t="s">
        <v>101</v>
      </c>
      <c r="N338" t="s">
        <v>102</v>
      </c>
      <c r="O338" t="s">
        <v>103</v>
      </c>
    </row>
    <row r="339" spans="1:16" x14ac:dyDescent="0.25">
      <c r="A339" s="14"/>
      <c r="B339" s="28"/>
      <c r="C339" s="28"/>
      <c r="D339" t="s">
        <v>100</v>
      </c>
      <c r="E339" t="s">
        <v>50</v>
      </c>
      <c r="F339">
        <v>1</v>
      </c>
      <c r="G339" s="29">
        <v>0.21</v>
      </c>
      <c r="H339" t="s">
        <v>30</v>
      </c>
      <c r="I339" s="30">
        <f>IFERROR(VLOOKUP(H339,CARTON_LOOKUP!$A:$E,3,0),"")</f>
      </c>
      <c r="J339" s="30">
        <f>IFERROR(VLOOKUP(H339,CARTON_LOOKUP!$A:$E,4,0),"")</f>
      </c>
      <c r="K339" s="30">
        <f>IFERROR(VLOOKUP(H339,CARTON_LOOKUP!$A:$E,5,0),"")</f>
      </c>
      <c r="L339" s="31">
        <f>IFERROR(VLOOKUP(H339,CARTON_LOOKUP!$A:$E,2,0),"")</f>
      </c>
      <c r="M339" t="s">
        <v>101</v>
      </c>
      <c r="N339" t="s">
        <v>102</v>
      </c>
      <c r="O339" t="s">
        <v>103</v>
      </c>
    </row>
    <row r="340" spans="1:16" x14ac:dyDescent="0.25">
      <c r="A340" s="14"/>
      <c r="B340" s="28"/>
      <c r="C340" s="28"/>
      <c r="D340" t="s">
        <v>100</v>
      </c>
      <c r="E340" t="s">
        <v>50</v>
      </c>
      <c r="F340">
        <v>1</v>
      </c>
      <c r="G340" s="29">
        <v>0.21</v>
      </c>
      <c r="H340" t="s">
        <v>30</v>
      </c>
      <c r="I340" s="30">
        <f>IFERROR(VLOOKUP(H340,CARTON_LOOKUP!$A:$E,3,0),"")</f>
      </c>
      <c r="J340" s="30">
        <f>IFERROR(VLOOKUP(H340,CARTON_LOOKUP!$A:$E,4,0),"")</f>
      </c>
      <c r="K340" s="30">
        <f>IFERROR(VLOOKUP(H340,CARTON_LOOKUP!$A:$E,5,0),"")</f>
      </c>
      <c r="L340" s="31">
        <f>IFERROR(VLOOKUP(H340,CARTON_LOOKUP!$A:$E,2,0),"")</f>
      </c>
      <c r="M340" t="s">
        <v>101</v>
      </c>
      <c r="N340" t="s">
        <v>102</v>
      </c>
      <c r="O340" t="s">
        <v>103</v>
      </c>
    </row>
    <row r="341" spans="1:16" x14ac:dyDescent="0.25">
      <c r="A341" s="14"/>
      <c r="B341" s="28"/>
      <c r="C341" s="28"/>
      <c r="D341" t="s">
        <v>100</v>
      </c>
      <c r="E341" t="s">
        <v>50</v>
      </c>
      <c r="F341">
        <v>1</v>
      </c>
      <c r="G341" s="29">
        <v>0.21</v>
      </c>
      <c r="H341" t="s">
        <v>30</v>
      </c>
      <c r="I341" s="30">
        <f>IFERROR(VLOOKUP(H341,CARTON_LOOKUP!$A:$E,3,0),"")</f>
      </c>
      <c r="J341" s="30">
        <f>IFERROR(VLOOKUP(H341,CARTON_LOOKUP!$A:$E,4,0),"")</f>
      </c>
      <c r="K341" s="30">
        <f>IFERROR(VLOOKUP(H341,CARTON_LOOKUP!$A:$E,5,0),"")</f>
      </c>
      <c r="L341" s="31">
        <f>IFERROR(VLOOKUP(H341,CARTON_LOOKUP!$A:$E,2,0),"")</f>
      </c>
      <c r="M341" t="s">
        <v>101</v>
      </c>
      <c r="N341" t="s">
        <v>102</v>
      </c>
      <c r="O341" t="s">
        <v>103</v>
      </c>
    </row>
    <row r="342" spans="1:16" x14ac:dyDescent="0.25">
      <c r="A342" s="14"/>
      <c r="B342" s="28"/>
      <c r="C342" s="28"/>
      <c r="D342" t="s">
        <v>100</v>
      </c>
      <c r="E342" t="s">
        <v>50</v>
      </c>
      <c r="F342">
        <v>1</v>
      </c>
      <c r="G342" s="29">
        <v>0.21</v>
      </c>
      <c r="H342" t="s">
        <v>30</v>
      </c>
      <c r="I342" s="30">
        <f>IFERROR(VLOOKUP(H342,CARTON_LOOKUP!$A:$E,3,0),"")</f>
      </c>
      <c r="J342" s="30">
        <f>IFERROR(VLOOKUP(H342,CARTON_LOOKUP!$A:$E,4,0),"")</f>
      </c>
      <c r="K342" s="30">
        <f>IFERROR(VLOOKUP(H342,CARTON_LOOKUP!$A:$E,5,0),"")</f>
      </c>
      <c r="L342" s="31">
        <f>IFERROR(VLOOKUP(H342,CARTON_LOOKUP!$A:$E,2,0),"")</f>
      </c>
      <c r="M342" t="s">
        <v>101</v>
      </c>
      <c r="N342" t="s">
        <v>102</v>
      </c>
      <c r="O342" t="s">
        <v>103</v>
      </c>
    </row>
    <row r="343" spans="1:16" x14ac:dyDescent="0.25">
      <c r="A343" s="14"/>
      <c r="B343" s="28"/>
      <c r="C343" s="28"/>
      <c r="D343" t="s">
        <v>100</v>
      </c>
      <c r="E343" t="s">
        <v>50</v>
      </c>
      <c r="F343">
        <v>1</v>
      </c>
      <c r="G343" s="29">
        <v>0.21</v>
      </c>
      <c r="H343" t="s">
        <v>30</v>
      </c>
      <c r="I343" s="30">
        <f>IFERROR(VLOOKUP(H343,CARTON_LOOKUP!$A:$E,3,0),"")</f>
      </c>
      <c r="J343" s="30">
        <f>IFERROR(VLOOKUP(H343,CARTON_LOOKUP!$A:$E,4,0),"")</f>
      </c>
      <c r="K343" s="30">
        <f>IFERROR(VLOOKUP(H343,CARTON_LOOKUP!$A:$E,5,0),"")</f>
      </c>
      <c r="L343" s="31">
        <f>IFERROR(VLOOKUP(H343,CARTON_LOOKUP!$A:$E,2,0),"")</f>
      </c>
      <c r="M343" t="s">
        <v>101</v>
      </c>
      <c r="N343" t="s">
        <v>102</v>
      </c>
      <c r="O343" t="s">
        <v>103</v>
      </c>
    </row>
    <row r="344" spans="1:16" x14ac:dyDescent="0.25">
      <c r="A344" s="14"/>
      <c r="B344" s="28"/>
      <c r="C344" s="28"/>
      <c r="D344" t="s">
        <v>100</v>
      </c>
      <c r="E344" t="s">
        <v>50</v>
      </c>
      <c r="F344">
        <v>1</v>
      </c>
      <c r="G344" s="29">
        <v>0.21</v>
      </c>
      <c r="H344" t="s">
        <v>30</v>
      </c>
      <c r="I344" s="30">
        <f>IFERROR(VLOOKUP(H344,CARTON_LOOKUP!$A:$E,3,0),"")</f>
      </c>
      <c r="J344" s="30">
        <f>IFERROR(VLOOKUP(H344,CARTON_LOOKUP!$A:$E,4,0),"")</f>
      </c>
      <c r="K344" s="30">
        <f>IFERROR(VLOOKUP(H344,CARTON_LOOKUP!$A:$E,5,0),"")</f>
      </c>
      <c r="L344" s="31">
        <f>IFERROR(VLOOKUP(H344,CARTON_LOOKUP!$A:$E,2,0),"")</f>
      </c>
      <c r="M344" t="s">
        <v>101</v>
      </c>
      <c r="N344" t="s">
        <v>102</v>
      </c>
      <c r="O344" t="s">
        <v>103</v>
      </c>
    </row>
    <row r="345" spans="1:16" x14ac:dyDescent="0.25">
      <c r="A345" s="14"/>
      <c r="B345" s="28"/>
      <c r="C345" s="28"/>
      <c r="D345" t="s">
        <v>100</v>
      </c>
      <c r="E345" t="s">
        <v>50</v>
      </c>
      <c r="F345">
        <v>1</v>
      </c>
      <c r="G345" s="29">
        <v>0.21</v>
      </c>
      <c r="H345" t="s">
        <v>30</v>
      </c>
      <c r="I345" s="30">
        <f>IFERROR(VLOOKUP(H345,CARTON_LOOKUP!$A:$E,3,0),"")</f>
      </c>
      <c r="J345" s="30">
        <f>IFERROR(VLOOKUP(H345,CARTON_LOOKUP!$A:$E,4,0),"")</f>
      </c>
      <c r="K345" s="30">
        <f>IFERROR(VLOOKUP(H345,CARTON_LOOKUP!$A:$E,5,0),"")</f>
      </c>
      <c r="L345" s="31">
        <f>IFERROR(VLOOKUP(H345,CARTON_LOOKUP!$A:$E,2,0),"")</f>
      </c>
      <c r="M345" t="s">
        <v>101</v>
      </c>
      <c r="N345" t="s">
        <v>102</v>
      </c>
      <c r="O345" t="s">
        <v>103</v>
      </c>
    </row>
    <row r="346" spans="1:16" x14ac:dyDescent="0.25">
      <c r="A346" s="14"/>
      <c r="B346" s="28"/>
      <c r="C346" s="28"/>
      <c r="D346" t="s">
        <v>100</v>
      </c>
      <c r="E346" t="s">
        <v>50</v>
      </c>
      <c r="F346">
        <v>1</v>
      </c>
      <c r="G346" s="29">
        <v>0.21</v>
      </c>
      <c r="H346" t="s">
        <v>30</v>
      </c>
      <c r="I346" s="30">
        <f>IFERROR(VLOOKUP(H346,CARTON_LOOKUP!$A:$E,3,0),"")</f>
      </c>
      <c r="J346" s="30">
        <f>IFERROR(VLOOKUP(H346,CARTON_LOOKUP!$A:$E,4,0),"")</f>
      </c>
      <c r="K346" s="30">
        <f>IFERROR(VLOOKUP(H346,CARTON_LOOKUP!$A:$E,5,0),"")</f>
      </c>
      <c r="L346" s="31">
        <f>IFERROR(VLOOKUP(H346,CARTON_LOOKUP!$A:$E,2,0),"")</f>
      </c>
      <c r="M346" t="s">
        <v>101</v>
      </c>
      <c r="N346" t="s">
        <v>102</v>
      </c>
      <c r="O346" t="s">
        <v>103</v>
      </c>
    </row>
    <row r="347" spans="1:16" x14ac:dyDescent="0.25">
      <c r="A347" s="14"/>
      <c r="B347" s="28"/>
      <c r="C347" s="28"/>
      <c r="D347" t="s">
        <v>100</v>
      </c>
      <c r="E347" t="s">
        <v>50</v>
      </c>
      <c r="F347">
        <v>1</v>
      </c>
      <c r="G347" s="29">
        <v>0.21</v>
      </c>
      <c r="H347" t="s">
        <v>30</v>
      </c>
      <c r="I347" s="30">
        <f>IFERROR(VLOOKUP(H347,CARTON_LOOKUP!$A:$E,3,0),"")</f>
      </c>
      <c r="J347" s="30">
        <f>IFERROR(VLOOKUP(H347,CARTON_LOOKUP!$A:$E,4,0),"")</f>
      </c>
      <c r="K347" s="30">
        <f>IFERROR(VLOOKUP(H347,CARTON_LOOKUP!$A:$E,5,0),"")</f>
      </c>
      <c r="L347" s="31">
        <f>IFERROR(VLOOKUP(H347,CARTON_LOOKUP!$A:$E,2,0),"")</f>
      </c>
      <c r="M347" t="s">
        <v>101</v>
      </c>
      <c r="N347" t="s">
        <v>102</v>
      </c>
      <c r="O347" t="s">
        <v>103</v>
      </c>
    </row>
    <row r="348" spans="1:16" x14ac:dyDescent="0.25">
      <c r="A348" s="14"/>
      <c r="B348" s="28"/>
      <c r="C348" s="28"/>
      <c r="D348" t="s">
        <v>100</v>
      </c>
      <c r="E348" t="s">
        <v>50</v>
      </c>
      <c r="F348">
        <v>1</v>
      </c>
      <c r="G348" s="29">
        <v>0.21</v>
      </c>
      <c r="H348" t="s">
        <v>30</v>
      </c>
      <c r="I348" s="30">
        <f>IFERROR(VLOOKUP(H348,CARTON_LOOKUP!$A:$E,3,0),"")</f>
      </c>
      <c r="J348" s="30">
        <f>IFERROR(VLOOKUP(H348,CARTON_LOOKUP!$A:$E,4,0),"")</f>
      </c>
      <c r="K348" s="30">
        <f>IFERROR(VLOOKUP(H348,CARTON_LOOKUP!$A:$E,5,0),"")</f>
      </c>
      <c r="L348" s="31">
        <f>IFERROR(VLOOKUP(H348,CARTON_LOOKUP!$A:$E,2,0),"")</f>
      </c>
      <c r="M348" t="s">
        <v>101</v>
      </c>
      <c r="N348" t="s">
        <v>102</v>
      </c>
      <c r="O348" t="s">
        <v>103</v>
      </c>
    </row>
    <row r="349" spans="1:16" x14ac:dyDescent="0.25">
      <c r="A349" s="14"/>
      <c r="B349" s="28"/>
      <c r="C349" s="28"/>
      <c r="D349" t="s">
        <v>100</v>
      </c>
      <c r="E349" t="s">
        <v>50</v>
      </c>
      <c r="F349">
        <v>1</v>
      </c>
      <c r="G349" s="29">
        <v>0.21</v>
      </c>
      <c r="H349" t="s">
        <v>30</v>
      </c>
      <c r="I349" s="30">
        <f>IFERROR(VLOOKUP(H349,CARTON_LOOKUP!$A:$E,3,0),"")</f>
      </c>
      <c r="J349" s="30">
        <f>IFERROR(VLOOKUP(H349,CARTON_LOOKUP!$A:$E,4,0),"")</f>
      </c>
      <c r="K349" s="30">
        <f>IFERROR(VLOOKUP(H349,CARTON_LOOKUP!$A:$E,5,0),"")</f>
      </c>
      <c r="L349" s="31">
        <f>IFERROR(VLOOKUP(H349,CARTON_LOOKUP!$A:$E,2,0),"")</f>
      </c>
      <c r="M349" t="s">
        <v>101</v>
      </c>
      <c r="N349" t="s">
        <v>102</v>
      </c>
      <c r="O349" t="s">
        <v>103</v>
      </c>
    </row>
    <row r="350" spans="1:16" x14ac:dyDescent="0.25">
      <c r="A350" s="14"/>
      <c r="B350" s="28"/>
      <c r="C350" s="28"/>
      <c r="D350" t="s">
        <v>100</v>
      </c>
      <c r="E350" t="s">
        <v>50</v>
      </c>
      <c r="F350">
        <v>1</v>
      </c>
      <c r="G350" s="29">
        <v>0.21</v>
      </c>
      <c r="H350" t="s">
        <v>30</v>
      </c>
      <c r="I350" s="30">
        <f>IFERROR(VLOOKUP(H350,CARTON_LOOKUP!$A:$E,3,0),"")</f>
      </c>
      <c r="J350" s="30">
        <f>IFERROR(VLOOKUP(H350,CARTON_LOOKUP!$A:$E,4,0),"")</f>
      </c>
      <c r="K350" s="30">
        <f>IFERROR(VLOOKUP(H350,CARTON_LOOKUP!$A:$E,5,0),"")</f>
      </c>
      <c r="L350" s="31">
        <f>IFERROR(VLOOKUP(H350,CARTON_LOOKUP!$A:$E,2,0),"")</f>
      </c>
      <c r="M350" t="s">
        <v>101</v>
      </c>
      <c r="N350" t="s">
        <v>102</v>
      </c>
      <c r="O350" t="s">
        <v>103</v>
      </c>
    </row>
    <row r="351" spans="1:16" x14ac:dyDescent="0.25">
      <c r="A351" s="14"/>
      <c r="B351" s="28"/>
      <c r="C351" s="28"/>
      <c r="D351" t="s">
        <v>100</v>
      </c>
      <c r="E351" t="s">
        <v>50</v>
      </c>
      <c r="F351">
        <v>1</v>
      </c>
      <c r="G351" s="29">
        <v>0.21</v>
      </c>
      <c r="H351" t="s">
        <v>30</v>
      </c>
      <c r="I351" s="30">
        <f>IFERROR(VLOOKUP(H351,CARTON_LOOKUP!$A:$E,3,0),"")</f>
      </c>
      <c r="J351" s="30">
        <f>IFERROR(VLOOKUP(H351,CARTON_LOOKUP!$A:$E,4,0),"")</f>
      </c>
      <c r="K351" s="30">
        <f>IFERROR(VLOOKUP(H351,CARTON_LOOKUP!$A:$E,5,0),"")</f>
      </c>
      <c r="L351" s="31">
        <f>IFERROR(VLOOKUP(H351,CARTON_LOOKUP!$A:$E,2,0),"")</f>
      </c>
      <c r="M351" t="s">
        <v>101</v>
      </c>
      <c r="N351" t="s">
        <v>102</v>
      </c>
      <c r="O351" t="s">
        <v>103</v>
      </c>
    </row>
    <row r="352" spans="1:16" x14ac:dyDescent="0.25">
      <c r="A352" s="14"/>
      <c r="B352" s="28"/>
      <c r="C352" s="28"/>
      <c r="D352" t="s">
        <v>100</v>
      </c>
      <c r="E352" t="s">
        <v>50</v>
      </c>
      <c r="F352">
        <v>1</v>
      </c>
      <c r="G352" s="29">
        <v>0.21</v>
      </c>
      <c r="H352" t="s">
        <v>30</v>
      </c>
      <c r="I352" s="30">
        <f>IFERROR(VLOOKUP(H352,CARTON_LOOKUP!$A:$E,3,0),"")</f>
      </c>
      <c r="J352" s="30">
        <f>IFERROR(VLOOKUP(H352,CARTON_LOOKUP!$A:$E,4,0),"")</f>
      </c>
      <c r="K352" s="30">
        <f>IFERROR(VLOOKUP(H352,CARTON_LOOKUP!$A:$E,5,0),"")</f>
      </c>
      <c r="L352" s="31">
        <f>IFERROR(VLOOKUP(H352,CARTON_LOOKUP!$A:$E,2,0),"")</f>
      </c>
      <c r="M352" t="s">
        <v>101</v>
      </c>
      <c r="N352" t="s">
        <v>102</v>
      </c>
      <c r="O352" t="s">
        <v>103</v>
      </c>
    </row>
    <row r="353" spans="1:16" x14ac:dyDescent="0.25">
      <c r="A353" s="14"/>
      <c r="B353" s="28"/>
      <c r="C353" s="28"/>
      <c r="D353" t="s">
        <v>100</v>
      </c>
      <c r="E353" t="s">
        <v>50</v>
      </c>
      <c r="F353">
        <v>1</v>
      </c>
      <c r="G353" s="29">
        <v>0.21</v>
      </c>
      <c r="H353" t="s">
        <v>30</v>
      </c>
      <c r="I353" s="30">
        <f>IFERROR(VLOOKUP(H353,CARTON_LOOKUP!$A:$E,3,0),"")</f>
      </c>
      <c r="J353" s="30">
        <f>IFERROR(VLOOKUP(H353,CARTON_LOOKUP!$A:$E,4,0),"")</f>
      </c>
      <c r="K353" s="30">
        <f>IFERROR(VLOOKUP(H353,CARTON_LOOKUP!$A:$E,5,0),"")</f>
      </c>
      <c r="L353" s="31">
        <f>IFERROR(VLOOKUP(H353,CARTON_LOOKUP!$A:$E,2,0),"")</f>
      </c>
      <c r="M353" t="s">
        <v>101</v>
      </c>
      <c r="N353" t="s">
        <v>102</v>
      </c>
      <c r="O353" t="s">
        <v>103</v>
      </c>
    </row>
    <row r="354" spans="1:16" x14ac:dyDescent="0.25">
      <c r="A354" s="14"/>
      <c r="B354" s="28"/>
      <c r="C354" s="28"/>
      <c r="D354" t="s">
        <v>100</v>
      </c>
      <c r="E354" t="s">
        <v>50</v>
      </c>
      <c r="F354">
        <v>1</v>
      </c>
      <c r="G354" s="29">
        <v>0.21</v>
      </c>
      <c r="H354" t="s">
        <v>30</v>
      </c>
      <c r="I354" s="30">
        <f>IFERROR(VLOOKUP(H354,CARTON_LOOKUP!$A:$E,3,0),"")</f>
      </c>
      <c r="J354" s="30">
        <f>IFERROR(VLOOKUP(H354,CARTON_LOOKUP!$A:$E,4,0),"")</f>
      </c>
      <c r="K354" s="30">
        <f>IFERROR(VLOOKUP(H354,CARTON_LOOKUP!$A:$E,5,0),"")</f>
      </c>
      <c r="L354" s="31">
        <f>IFERROR(VLOOKUP(H354,CARTON_LOOKUP!$A:$E,2,0),"")</f>
      </c>
      <c r="M354" t="s">
        <v>101</v>
      </c>
      <c r="N354" t="s">
        <v>102</v>
      </c>
      <c r="O354" t="s">
        <v>103</v>
      </c>
    </row>
    <row r="355" spans="1:16" x14ac:dyDescent="0.25">
      <c r="A355" s="14"/>
      <c r="B355" s="28"/>
      <c r="C355" s="28"/>
      <c r="D355" t="s">
        <v>100</v>
      </c>
      <c r="E355" t="s">
        <v>50</v>
      </c>
      <c r="F355">
        <v>1</v>
      </c>
      <c r="G355" s="29">
        <v>0.21</v>
      </c>
      <c r="H355" t="s">
        <v>30</v>
      </c>
      <c r="I355" s="30">
        <f>IFERROR(VLOOKUP(H355,CARTON_LOOKUP!$A:$E,3,0),"")</f>
      </c>
      <c r="J355" s="30">
        <f>IFERROR(VLOOKUP(H355,CARTON_LOOKUP!$A:$E,4,0),"")</f>
      </c>
      <c r="K355" s="30">
        <f>IFERROR(VLOOKUP(H355,CARTON_LOOKUP!$A:$E,5,0),"")</f>
      </c>
      <c r="L355" s="31">
        <f>IFERROR(VLOOKUP(H355,CARTON_LOOKUP!$A:$E,2,0),"")</f>
      </c>
      <c r="M355" t="s">
        <v>101</v>
      </c>
      <c r="N355" t="s">
        <v>102</v>
      </c>
      <c r="O355" t="s">
        <v>103</v>
      </c>
    </row>
    <row r="356" spans="1:16" x14ac:dyDescent="0.25">
      <c r="A356" s="14"/>
      <c r="B356" s="28"/>
      <c r="C356" s="28"/>
      <c r="D356" t="s">
        <v>100</v>
      </c>
      <c r="E356" t="s">
        <v>50</v>
      </c>
      <c r="F356">
        <v>1</v>
      </c>
      <c r="G356" s="29">
        <v>0.21</v>
      </c>
      <c r="H356" t="s">
        <v>30</v>
      </c>
      <c r="I356" s="30">
        <f>IFERROR(VLOOKUP(H356,CARTON_LOOKUP!$A:$E,3,0),"")</f>
      </c>
      <c r="J356" s="30">
        <f>IFERROR(VLOOKUP(H356,CARTON_LOOKUP!$A:$E,4,0),"")</f>
      </c>
      <c r="K356" s="30">
        <f>IFERROR(VLOOKUP(H356,CARTON_LOOKUP!$A:$E,5,0),"")</f>
      </c>
      <c r="L356" s="31">
        <f>IFERROR(VLOOKUP(H356,CARTON_LOOKUP!$A:$E,2,0),"")</f>
      </c>
      <c r="M356" t="s">
        <v>101</v>
      </c>
      <c r="N356" t="s">
        <v>102</v>
      </c>
      <c r="O356" t="s">
        <v>103</v>
      </c>
    </row>
    <row r="357" spans="1:16" x14ac:dyDescent="0.25">
      <c r="A357" s="14"/>
      <c r="B357" s="28"/>
      <c r="C357" s="28"/>
      <c r="D357" t="s">
        <v>100</v>
      </c>
      <c r="E357" t="s">
        <v>50</v>
      </c>
      <c r="F357">
        <v>1</v>
      </c>
      <c r="G357" s="29">
        <v>0.21</v>
      </c>
      <c r="H357" t="s">
        <v>30</v>
      </c>
      <c r="I357" s="30">
        <f>IFERROR(VLOOKUP(H357,CARTON_LOOKUP!$A:$E,3,0),"")</f>
      </c>
      <c r="J357" s="30">
        <f>IFERROR(VLOOKUP(H357,CARTON_LOOKUP!$A:$E,4,0),"")</f>
      </c>
      <c r="K357" s="30">
        <f>IFERROR(VLOOKUP(H357,CARTON_LOOKUP!$A:$E,5,0),"")</f>
      </c>
      <c r="L357" s="31">
        <f>IFERROR(VLOOKUP(H357,CARTON_LOOKUP!$A:$E,2,0),"")</f>
      </c>
      <c r="M357" t="s">
        <v>101</v>
      </c>
      <c r="N357" t="s">
        <v>102</v>
      </c>
      <c r="O357" t="s">
        <v>103</v>
      </c>
    </row>
    <row r="358" spans="1:16" x14ac:dyDescent="0.25">
      <c r="A358" s="14"/>
      <c r="B358" s="28"/>
      <c r="C358" s="28"/>
      <c r="D358" t="s">
        <v>100</v>
      </c>
      <c r="E358" t="s">
        <v>50</v>
      </c>
      <c r="F358">
        <v>1</v>
      </c>
      <c r="G358" s="29">
        <v>0.21</v>
      </c>
      <c r="H358" t="s">
        <v>30</v>
      </c>
      <c r="I358" s="30">
        <f>IFERROR(VLOOKUP(H358,CARTON_LOOKUP!$A:$E,3,0),"")</f>
      </c>
      <c r="J358" s="30">
        <f>IFERROR(VLOOKUP(H358,CARTON_LOOKUP!$A:$E,4,0),"")</f>
      </c>
      <c r="K358" s="30">
        <f>IFERROR(VLOOKUP(H358,CARTON_LOOKUP!$A:$E,5,0),"")</f>
      </c>
      <c r="L358" s="31">
        <f>IFERROR(VLOOKUP(H358,CARTON_LOOKUP!$A:$E,2,0),"")</f>
      </c>
      <c r="M358" t="s">
        <v>101</v>
      </c>
      <c r="N358" t="s">
        <v>102</v>
      </c>
      <c r="O358" t="s">
        <v>103</v>
      </c>
    </row>
    <row r="359" spans="1:16" x14ac:dyDescent="0.25">
      <c r="A359" s="14"/>
      <c r="B359" s="28"/>
      <c r="C359" s="28"/>
      <c r="D359" t="s">
        <v>100</v>
      </c>
      <c r="E359" t="s">
        <v>50</v>
      </c>
      <c r="F359">
        <v>1</v>
      </c>
      <c r="G359" s="29">
        <v>0.21</v>
      </c>
      <c r="H359" t="s">
        <v>30</v>
      </c>
      <c r="I359" s="30">
        <f>IFERROR(VLOOKUP(H359,CARTON_LOOKUP!$A:$E,3,0),"")</f>
      </c>
      <c r="J359" s="30">
        <f>IFERROR(VLOOKUP(H359,CARTON_LOOKUP!$A:$E,4,0),"")</f>
      </c>
      <c r="K359" s="30">
        <f>IFERROR(VLOOKUP(H359,CARTON_LOOKUP!$A:$E,5,0),"")</f>
      </c>
      <c r="L359" s="31">
        <f>IFERROR(VLOOKUP(H359,CARTON_LOOKUP!$A:$E,2,0),"")</f>
      </c>
      <c r="M359" t="s">
        <v>101</v>
      </c>
      <c r="N359" t="s">
        <v>102</v>
      </c>
      <c r="O359" t="s">
        <v>103</v>
      </c>
    </row>
    <row r="360" spans="1:16" x14ac:dyDescent="0.25">
      <c r="A360" s="14"/>
      <c r="B360" s="28"/>
      <c r="C360" s="28"/>
      <c r="D360" t="s">
        <v>100</v>
      </c>
      <c r="E360" t="s">
        <v>50</v>
      </c>
      <c r="F360">
        <v>1</v>
      </c>
      <c r="G360" s="29">
        <v>0.21</v>
      </c>
      <c r="H360" t="s">
        <v>30</v>
      </c>
      <c r="I360" s="30">
        <f>IFERROR(VLOOKUP(H360,CARTON_LOOKUP!$A:$E,3,0),"")</f>
      </c>
      <c r="J360" s="30">
        <f>IFERROR(VLOOKUP(H360,CARTON_LOOKUP!$A:$E,4,0),"")</f>
      </c>
      <c r="K360" s="30">
        <f>IFERROR(VLOOKUP(H360,CARTON_LOOKUP!$A:$E,5,0),"")</f>
      </c>
      <c r="L360" s="31">
        <f>IFERROR(VLOOKUP(H360,CARTON_LOOKUP!$A:$E,2,0),"")</f>
      </c>
      <c r="M360" t="s">
        <v>101</v>
      </c>
      <c r="N360" t="s">
        <v>102</v>
      </c>
      <c r="O360" t="s">
        <v>103</v>
      </c>
    </row>
    <row r="361" spans="1:16" x14ac:dyDescent="0.25">
      <c r="A361" s="14"/>
      <c r="B361" s="28"/>
      <c r="C361" s="28"/>
      <c r="D361" t="s">
        <v>100</v>
      </c>
      <c r="E361" t="s">
        <v>50</v>
      </c>
      <c r="F361">
        <v>1</v>
      </c>
      <c r="G361" s="29">
        <v>0.21</v>
      </c>
      <c r="H361" t="s">
        <v>30</v>
      </c>
      <c r="I361" s="30">
        <f>IFERROR(VLOOKUP(H361,CARTON_LOOKUP!$A:$E,3,0),"")</f>
      </c>
      <c r="J361" s="30">
        <f>IFERROR(VLOOKUP(H361,CARTON_LOOKUP!$A:$E,4,0),"")</f>
      </c>
      <c r="K361" s="30">
        <f>IFERROR(VLOOKUP(H361,CARTON_LOOKUP!$A:$E,5,0),"")</f>
      </c>
      <c r="L361" s="31">
        <f>IFERROR(VLOOKUP(H361,CARTON_LOOKUP!$A:$E,2,0),"")</f>
      </c>
      <c r="M361" t="s">
        <v>101</v>
      </c>
      <c r="N361" t="s">
        <v>102</v>
      </c>
      <c r="O361" t="s">
        <v>103</v>
      </c>
    </row>
    <row r="362" spans="1:16" x14ac:dyDescent="0.25">
      <c r="A362" s="14"/>
      <c r="B362" s="28"/>
      <c r="C362" s="28"/>
      <c r="D362" t="s">
        <v>100</v>
      </c>
      <c r="E362" t="s">
        <v>50</v>
      </c>
      <c r="F362">
        <v>1</v>
      </c>
      <c r="G362" s="29">
        <v>0.21</v>
      </c>
      <c r="H362" t="s">
        <v>30</v>
      </c>
      <c r="I362" s="30">
        <f>IFERROR(VLOOKUP(H362,CARTON_LOOKUP!$A:$E,3,0),"")</f>
      </c>
      <c r="J362" s="30">
        <f>IFERROR(VLOOKUP(H362,CARTON_LOOKUP!$A:$E,4,0),"")</f>
      </c>
      <c r="K362" s="30">
        <f>IFERROR(VLOOKUP(H362,CARTON_LOOKUP!$A:$E,5,0),"")</f>
      </c>
      <c r="L362" s="31">
        <f>IFERROR(VLOOKUP(H362,CARTON_LOOKUP!$A:$E,2,0),"")</f>
      </c>
      <c r="M362" t="s">
        <v>101</v>
      </c>
      <c r="N362" t="s">
        <v>102</v>
      </c>
      <c r="O362" t="s">
        <v>103</v>
      </c>
    </row>
    <row r="363" spans="1:16" x14ac:dyDescent="0.25">
      <c r="A363" s="14"/>
      <c r="B363" s="28"/>
      <c r="C363" s="28"/>
      <c r="D363" t="s">
        <v>100</v>
      </c>
      <c r="E363" t="s">
        <v>50</v>
      </c>
      <c r="F363">
        <v>1</v>
      </c>
      <c r="G363" s="29">
        <v>0.21</v>
      </c>
      <c r="H363" t="s">
        <v>30</v>
      </c>
      <c r="I363" s="30">
        <f>IFERROR(VLOOKUP(H363,CARTON_LOOKUP!$A:$E,3,0),"")</f>
      </c>
      <c r="J363" s="30">
        <f>IFERROR(VLOOKUP(H363,CARTON_LOOKUP!$A:$E,4,0),"")</f>
      </c>
      <c r="K363" s="30">
        <f>IFERROR(VLOOKUP(H363,CARTON_LOOKUP!$A:$E,5,0),"")</f>
      </c>
      <c r="L363" s="31">
        <f>IFERROR(VLOOKUP(H363,CARTON_LOOKUP!$A:$E,2,0),"")</f>
      </c>
      <c r="M363" t="s">
        <v>101</v>
      </c>
      <c r="N363" t="s">
        <v>102</v>
      </c>
      <c r="O363" t="s">
        <v>103</v>
      </c>
    </row>
    <row r="364" spans="1:16" x14ac:dyDescent="0.25">
      <c r="A364" s="14"/>
      <c r="B364" s="28"/>
      <c r="C364" s="28"/>
      <c r="D364" t="s">
        <v>100</v>
      </c>
      <c r="E364" t="s">
        <v>50</v>
      </c>
      <c r="F364">
        <v>1</v>
      </c>
      <c r="G364" s="29">
        <v>0.21</v>
      </c>
      <c r="H364" t="s">
        <v>30</v>
      </c>
      <c r="I364" s="30">
        <f>IFERROR(VLOOKUP(H364,CARTON_LOOKUP!$A:$E,3,0),"")</f>
      </c>
      <c r="J364" s="30">
        <f>IFERROR(VLOOKUP(H364,CARTON_LOOKUP!$A:$E,4,0),"")</f>
      </c>
      <c r="K364" s="30">
        <f>IFERROR(VLOOKUP(H364,CARTON_LOOKUP!$A:$E,5,0),"")</f>
      </c>
      <c r="L364" s="31">
        <f>IFERROR(VLOOKUP(H364,CARTON_LOOKUP!$A:$E,2,0),"")</f>
      </c>
      <c r="M364" t="s">
        <v>101</v>
      </c>
      <c r="N364" t="s">
        <v>102</v>
      </c>
      <c r="O364" t="s">
        <v>103</v>
      </c>
    </row>
    <row r="365" spans="1:16" x14ac:dyDescent="0.25">
      <c r="A365" s="14"/>
      <c r="B365" s="28"/>
      <c r="C365" s="28"/>
      <c r="D365" t="s">
        <v>100</v>
      </c>
      <c r="E365" t="s">
        <v>50</v>
      </c>
      <c r="F365">
        <v>1</v>
      </c>
      <c r="G365" s="29">
        <v>0.21</v>
      </c>
      <c r="H365" t="s">
        <v>30</v>
      </c>
      <c r="I365" s="30">
        <f>IFERROR(VLOOKUP(H365,CARTON_LOOKUP!$A:$E,3,0),"")</f>
      </c>
      <c r="J365" s="30">
        <f>IFERROR(VLOOKUP(H365,CARTON_LOOKUP!$A:$E,4,0),"")</f>
      </c>
      <c r="K365" s="30">
        <f>IFERROR(VLOOKUP(H365,CARTON_LOOKUP!$A:$E,5,0),"")</f>
      </c>
      <c r="L365" s="31">
        <f>IFERROR(VLOOKUP(H365,CARTON_LOOKUP!$A:$E,2,0),"")</f>
      </c>
      <c r="M365" t="s">
        <v>101</v>
      </c>
      <c r="N365" t="s">
        <v>102</v>
      </c>
      <c r="O365" t="s">
        <v>103</v>
      </c>
    </row>
    <row r="366" spans="1:16" x14ac:dyDescent="0.25">
      <c r="A366" s="14"/>
      <c r="B366" s="28"/>
      <c r="C366" s="28"/>
      <c r="D366" t="s">
        <v>100</v>
      </c>
      <c r="E366" t="s">
        <v>50</v>
      </c>
      <c r="F366">
        <v>1</v>
      </c>
      <c r="G366" s="29">
        <v>0.21</v>
      </c>
      <c r="H366" t="s">
        <v>30</v>
      </c>
      <c r="I366" s="30">
        <f>IFERROR(VLOOKUP(H366,CARTON_LOOKUP!$A:$E,3,0),"")</f>
      </c>
      <c r="J366" s="30">
        <f>IFERROR(VLOOKUP(H366,CARTON_LOOKUP!$A:$E,4,0),"")</f>
      </c>
      <c r="K366" s="30">
        <f>IFERROR(VLOOKUP(H366,CARTON_LOOKUP!$A:$E,5,0),"")</f>
      </c>
      <c r="L366" s="31">
        <f>IFERROR(VLOOKUP(H366,CARTON_LOOKUP!$A:$E,2,0),"")</f>
      </c>
      <c r="M366" t="s">
        <v>101</v>
      </c>
      <c r="N366" t="s">
        <v>102</v>
      </c>
      <c r="O366" t="s">
        <v>103</v>
      </c>
    </row>
    <row r="367" spans="1:16" x14ac:dyDescent="0.25">
      <c r="A367" s="14"/>
      <c r="B367" s="28"/>
      <c r="C367" s="28"/>
      <c r="D367" t="s">
        <v>100</v>
      </c>
      <c r="E367" t="s">
        <v>50</v>
      </c>
      <c r="F367">
        <v>1</v>
      </c>
      <c r="G367" s="29">
        <v>0.21</v>
      </c>
      <c r="H367" t="s">
        <v>30</v>
      </c>
      <c r="I367" s="30">
        <f>IFERROR(VLOOKUP(H367,CARTON_LOOKUP!$A:$E,3,0),"")</f>
      </c>
      <c r="J367" s="30">
        <f>IFERROR(VLOOKUP(H367,CARTON_LOOKUP!$A:$E,4,0),"")</f>
      </c>
      <c r="K367" s="30">
        <f>IFERROR(VLOOKUP(H367,CARTON_LOOKUP!$A:$E,5,0),"")</f>
      </c>
      <c r="L367" s="31">
        <f>IFERROR(VLOOKUP(H367,CARTON_LOOKUP!$A:$E,2,0),"")</f>
      </c>
      <c r="M367" t="s">
        <v>101</v>
      </c>
      <c r="N367" t="s">
        <v>102</v>
      </c>
      <c r="O367" t="s">
        <v>103</v>
      </c>
    </row>
    <row r="368" spans="1:16" x14ac:dyDescent="0.25">
      <c r="A368" s="14"/>
      <c r="B368" s="28"/>
      <c r="C368" s="28"/>
      <c r="D368" t="s">
        <v>100</v>
      </c>
      <c r="E368" t="s">
        <v>50</v>
      </c>
      <c r="F368">
        <v>1</v>
      </c>
      <c r="G368" s="29">
        <v>0.21</v>
      </c>
      <c r="H368" t="s">
        <v>30</v>
      </c>
      <c r="I368" s="30">
        <f>IFERROR(VLOOKUP(H368,CARTON_LOOKUP!$A:$E,3,0),"")</f>
      </c>
      <c r="J368" s="30">
        <f>IFERROR(VLOOKUP(H368,CARTON_LOOKUP!$A:$E,4,0),"")</f>
      </c>
      <c r="K368" s="30">
        <f>IFERROR(VLOOKUP(H368,CARTON_LOOKUP!$A:$E,5,0),"")</f>
      </c>
      <c r="L368" s="31">
        <f>IFERROR(VLOOKUP(H368,CARTON_LOOKUP!$A:$E,2,0),"")</f>
      </c>
      <c r="M368" t="s">
        <v>101</v>
      </c>
      <c r="N368" t="s">
        <v>102</v>
      </c>
      <c r="O368" t="s">
        <v>103</v>
      </c>
    </row>
    <row r="369" spans="1:16" x14ac:dyDescent="0.25">
      <c r="A369" s="14"/>
      <c r="B369" s="28"/>
      <c r="C369" s="28"/>
      <c r="D369" t="s">
        <v>100</v>
      </c>
      <c r="E369" t="s">
        <v>50</v>
      </c>
      <c r="F369">
        <v>1</v>
      </c>
      <c r="G369" s="29">
        <v>0.21</v>
      </c>
      <c r="H369" t="s">
        <v>30</v>
      </c>
      <c r="I369" s="30">
        <f>IFERROR(VLOOKUP(H369,CARTON_LOOKUP!$A:$E,3,0),"")</f>
      </c>
      <c r="J369" s="30">
        <f>IFERROR(VLOOKUP(H369,CARTON_LOOKUP!$A:$E,4,0),"")</f>
      </c>
      <c r="K369" s="30">
        <f>IFERROR(VLOOKUP(H369,CARTON_LOOKUP!$A:$E,5,0),"")</f>
      </c>
      <c r="L369" s="31">
        <f>IFERROR(VLOOKUP(H369,CARTON_LOOKUP!$A:$E,2,0),"")</f>
      </c>
      <c r="M369" t="s">
        <v>101</v>
      </c>
      <c r="N369" t="s">
        <v>102</v>
      </c>
      <c r="O369" t="s">
        <v>103</v>
      </c>
    </row>
    <row r="370" spans="1:16" x14ac:dyDescent="0.25">
      <c r="A370" s="14"/>
      <c r="B370" s="28"/>
      <c r="C370" s="28"/>
      <c r="D370" t="s">
        <v>100</v>
      </c>
      <c r="E370" t="s">
        <v>50</v>
      </c>
      <c r="F370">
        <v>1</v>
      </c>
      <c r="G370" s="29">
        <v>0.21</v>
      </c>
      <c r="H370" t="s">
        <v>30</v>
      </c>
      <c r="I370" s="30">
        <f>IFERROR(VLOOKUP(H370,CARTON_LOOKUP!$A:$E,3,0),"")</f>
      </c>
      <c r="J370" s="30">
        <f>IFERROR(VLOOKUP(H370,CARTON_LOOKUP!$A:$E,4,0),"")</f>
      </c>
      <c r="K370" s="30">
        <f>IFERROR(VLOOKUP(H370,CARTON_LOOKUP!$A:$E,5,0),"")</f>
      </c>
      <c r="L370" s="31">
        <f>IFERROR(VLOOKUP(H370,CARTON_LOOKUP!$A:$E,2,0),"")</f>
      </c>
      <c r="M370" t="s">
        <v>101</v>
      </c>
      <c r="N370" t="s">
        <v>102</v>
      </c>
      <c r="O370" t="s">
        <v>103</v>
      </c>
    </row>
    <row r="371" spans="1:16" x14ac:dyDescent="0.25">
      <c r="A371" s="14"/>
      <c r="B371" s="28"/>
      <c r="C371" s="28"/>
      <c r="D371" t="s">
        <v>100</v>
      </c>
      <c r="E371" t="s">
        <v>50</v>
      </c>
      <c r="F371">
        <v>1</v>
      </c>
      <c r="G371" s="29">
        <v>0.21</v>
      </c>
      <c r="H371" t="s">
        <v>30</v>
      </c>
      <c r="I371" s="30">
        <f>IFERROR(VLOOKUP(H371,CARTON_LOOKUP!$A:$E,3,0),"")</f>
      </c>
      <c r="J371" s="30">
        <f>IFERROR(VLOOKUP(H371,CARTON_LOOKUP!$A:$E,4,0),"")</f>
      </c>
      <c r="K371" s="30">
        <f>IFERROR(VLOOKUP(H371,CARTON_LOOKUP!$A:$E,5,0),"")</f>
      </c>
      <c r="L371" s="31">
        <f>IFERROR(VLOOKUP(H371,CARTON_LOOKUP!$A:$E,2,0),"")</f>
      </c>
      <c r="M371" t="s">
        <v>101</v>
      </c>
      <c r="N371" t="s">
        <v>102</v>
      </c>
      <c r="O371" t="s">
        <v>103</v>
      </c>
    </row>
    <row r="372" spans="1:16" x14ac:dyDescent="0.25">
      <c r="A372" s="14"/>
      <c r="B372" s="28"/>
      <c r="C372" s="28"/>
      <c r="D372" t="s">
        <v>100</v>
      </c>
      <c r="E372" t="s">
        <v>50</v>
      </c>
      <c r="F372">
        <v>1</v>
      </c>
      <c r="G372" s="29">
        <v>0.21</v>
      </c>
      <c r="H372" t="s">
        <v>30</v>
      </c>
      <c r="I372" s="30">
        <f>IFERROR(VLOOKUP(H372,CARTON_LOOKUP!$A:$E,3,0),"")</f>
      </c>
      <c r="J372" s="30">
        <f>IFERROR(VLOOKUP(H372,CARTON_LOOKUP!$A:$E,4,0),"")</f>
      </c>
      <c r="K372" s="30">
        <f>IFERROR(VLOOKUP(H372,CARTON_LOOKUP!$A:$E,5,0),"")</f>
      </c>
      <c r="L372" s="31">
        <f>IFERROR(VLOOKUP(H372,CARTON_LOOKUP!$A:$E,2,0),"")</f>
      </c>
      <c r="M372" t="s">
        <v>101</v>
      </c>
      <c r="N372" t="s">
        <v>102</v>
      </c>
      <c r="O372" t="s">
        <v>103</v>
      </c>
    </row>
    <row r="373" spans="1:16" x14ac:dyDescent="0.25">
      <c r="A373" s="14"/>
      <c r="B373" s="28"/>
      <c r="C373" s="28"/>
      <c r="D373" t="s">
        <v>100</v>
      </c>
      <c r="E373" t="s">
        <v>50</v>
      </c>
      <c r="F373">
        <v>1</v>
      </c>
      <c r="G373" s="29">
        <v>0.21</v>
      </c>
      <c r="H373" t="s">
        <v>30</v>
      </c>
      <c r="I373" s="30">
        <f>IFERROR(VLOOKUP(H373,CARTON_LOOKUP!$A:$E,3,0),"")</f>
      </c>
      <c r="J373" s="30">
        <f>IFERROR(VLOOKUP(H373,CARTON_LOOKUP!$A:$E,4,0),"")</f>
      </c>
      <c r="K373" s="30">
        <f>IFERROR(VLOOKUP(H373,CARTON_LOOKUP!$A:$E,5,0),"")</f>
      </c>
      <c r="L373" s="31">
        <f>IFERROR(VLOOKUP(H373,CARTON_LOOKUP!$A:$E,2,0),"")</f>
      </c>
      <c r="M373" t="s">
        <v>101</v>
      </c>
      <c r="N373" t="s">
        <v>102</v>
      </c>
      <c r="O373" t="s">
        <v>103</v>
      </c>
    </row>
    <row r="374" spans="1:16" x14ac:dyDescent="0.25">
      <c r="A374" s="14"/>
      <c r="B374" s="28"/>
      <c r="C374" s="28"/>
      <c r="D374" t="s">
        <v>100</v>
      </c>
      <c r="E374" t="s">
        <v>50</v>
      </c>
      <c r="F374">
        <v>1</v>
      </c>
      <c r="G374" s="29">
        <v>0.21</v>
      </c>
      <c r="H374" t="s">
        <v>30</v>
      </c>
      <c r="I374" s="30">
        <f>IFERROR(VLOOKUP(H374,CARTON_LOOKUP!$A:$E,3,0),"")</f>
      </c>
      <c r="J374" s="30">
        <f>IFERROR(VLOOKUP(H374,CARTON_LOOKUP!$A:$E,4,0),"")</f>
      </c>
      <c r="K374" s="30">
        <f>IFERROR(VLOOKUP(H374,CARTON_LOOKUP!$A:$E,5,0),"")</f>
      </c>
      <c r="L374" s="31">
        <f>IFERROR(VLOOKUP(H374,CARTON_LOOKUP!$A:$E,2,0),"")</f>
      </c>
      <c r="M374" t="s">
        <v>101</v>
      </c>
      <c r="N374" t="s">
        <v>102</v>
      </c>
      <c r="O374" t="s">
        <v>103</v>
      </c>
    </row>
    <row r="375" spans="1:16" x14ac:dyDescent="0.25">
      <c r="A375" s="14"/>
      <c r="B375" s="28"/>
      <c r="C375" s="28"/>
      <c r="D375" t="s">
        <v>100</v>
      </c>
      <c r="E375" t="s">
        <v>50</v>
      </c>
      <c r="F375">
        <v>1</v>
      </c>
      <c r="G375" s="29">
        <v>0.21</v>
      </c>
      <c r="H375" t="s">
        <v>30</v>
      </c>
      <c r="I375" s="30">
        <f>IFERROR(VLOOKUP(H375,CARTON_LOOKUP!$A:$E,3,0),"")</f>
      </c>
      <c r="J375" s="30">
        <f>IFERROR(VLOOKUP(H375,CARTON_LOOKUP!$A:$E,4,0),"")</f>
      </c>
      <c r="K375" s="30">
        <f>IFERROR(VLOOKUP(H375,CARTON_LOOKUP!$A:$E,5,0),"")</f>
      </c>
      <c r="L375" s="31">
        <f>IFERROR(VLOOKUP(H375,CARTON_LOOKUP!$A:$E,2,0),"")</f>
      </c>
      <c r="M375" t="s">
        <v>101</v>
      </c>
      <c r="N375" t="s">
        <v>102</v>
      </c>
      <c r="O375" t="s">
        <v>103</v>
      </c>
    </row>
    <row r="376" spans="1:16" x14ac:dyDescent="0.25">
      <c r="A376" s="14"/>
      <c r="B376" s="28"/>
      <c r="C376" s="28"/>
      <c r="D376" t="s">
        <v>100</v>
      </c>
      <c r="E376" t="s">
        <v>50</v>
      </c>
      <c r="F376">
        <v>1</v>
      </c>
      <c r="G376" s="29">
        <v>0.21</v>
      </c>
      <c r="H376" t="s">
        <v>30</v>
      </c>
      <c r="I376" s="30">
        <f>IFERROR(VLOOKUP(H376,CARTON_LOOKUP!$A:$E,3,0),"")</f>
      </c>
      <c r="J376" s="30">
        <f>IFERROR(VLOOKUP(H376,CARTON_LOOKUP!$A:$E,4,0),"")</f>
      </c>
      <c r="K376" s="30">
        <f>IFERROR(VLOOKUP(H376,CARTON_LOOKUP!$A:$E,5,0),"")</f>
      </c>
      <c r="L376" s="31">
        <f>IFERROR(VLOOKUP(H376,CARTON_LOOKUP!$A:$E,2,0),"")</f>
      </c>
      <c r="M376" t="s">
        <v>101</v>
      </c>
      <c r="N376" t="s">
        <v>102</v>
      </c>
      <c r="O376" t="s">
        <v>103</v>
      </c>
    </row>
    <row r="377" spans="1:16" x14ac:dyDescent="0.25">
      <c r="A377" s="14"/>
      <c r="B377" s="28"/>
      <c r="C377" s="28"/>
      <c r="D377" t="s">
        <v>100</v>
      </c>
      <c r="E377" t="s">
        <v>50</v>
      </c>
      <c r="F377">
        <v>1</v>
      </c>
      <c r="G377" s="29">
        <v>0.21</v>
      </c>
      <c r="H377" t="s">
        <v>30</v>
      </c>
      <c r="I377" s="30">
        <f>IFERROR(VLOOKUP(H377,CARTON_LOOKUP!$A:$E,3,0),"")</f>
      </c>
      <c r="J377" s="30">
        <f>IFERROR(VLOOKUP(H377,CARTON_LOOKUP!$A:$E,4,0),"")</f>
      </c>
      <c r="K377" s="30">
        <f>IFERROR(VLOOKUP(H377,CARTON_LOOKUP!$A:$E,5,0),"")</f>
      </c>
      <c r="L377" s="31">
        <f>IFERROR(VLOOKUP(H377,CARTON_LOOKUP!$A:$E,2,0),"")</f>
      </c>
      <c r="M377" t="s">
        <v>101</v>
      </c>
      <c r="N377" t="s">
        <v>102</v>
      </c>
      <c r="O377" t="s">
        <v>103</v>
      </c>
    </row>
    <row r="378" spans="1:16" x14ac:dyDescent="0.25">
      <c r="A378" s="14"/>
      <c r="B378" s="28"/>
      <c r="C378" s="28"/>
      <c r="D378" t="s">
        <v>100</v>
      </c>
      <c r="E378" t="s">
        <v>50</v>
      </c>
      <c r="F378">
        <v>1</v>
      </c>
      <c r="G378" s="29">
        <v>0.21</v>
      </c>
      <c r="H378" t="s">
        <v>30</v>
      </c>
      <c r="I378" s="30">
        <f>IFERROR(VLOOKUP(H378,CARTON_LOOKUP!$A:$E,3,0),"")</f>
      </c>
      <c r="J378" s="30">
        <f>IFERROR(VLOOKUP(H378,CARTON_LOOKUP!$A:$E,4,0),"")</f>
      </c>
      <c r="K378" s="30">
        <f>IFERROR(VLOOKUP(H378,CARTON_LOOKUP!$A:$E,5,0),"")</f>
      </c>
      <c r="L378" s="31">
        <f>IFERROR(VLOOKUP(H378,CARTON_LOOKUP!$A:$E,2,0),"")</f>
      </c>
      <c r="M378" t="s">
        <v>101</v>
      </c>
      <c r="N378" t="s">
        <v>102</v>
      </c>
      <c r="O378" t="s">
        <v>103</v>
      </c>
    </row>
    <row r="379" spans="1:16" x14ac:dyDescent="0.25">
      <c r="A379" s="14"/>
      <c r="B379" s="28"/>
      <c r="C379" s="28"/>
      <c r="D379" t="s">
        <v>100</v>
      </c>
      <c r="E379" t="s">
        <v>50</v>
      </c>
      <c r="F379">
        <v>1</v>
      </c>
      <c r="G379" s="29">
        <v>0.21</v>
      </c>
      <c r="H379" t="s">
        <v>30</v>
      </c>
      <c r="I379" s="30">
        <f>IFERROR(VLOOKUP(H379,CARTON_LOOKUP!$A:$E,3,0),"")</f>
      </c>
      <c r="J379" s="30">
        <f>IFERROR(VLOOKUP(H379,CARTON_LOOKUP!$A:$E,4,0),"")</f>
      </c>
      <c r="K379" s="30">
        <f>IFERROR(VLOOKUP(H379,CARTON_LOOKUP!$A:$E,5,0),"")</f>
      </c>
      <c r="L379" s="31">
        <f>IFERROR(VLOOKUP(H379,CARTON_LOOKUP!$A:$E,2,0),"")</f>
      </c>
      <c r="M379" t="s">
        <v>101</v>
      </c>
      <c r="N379" t="s">
        <v>102</v>
      </c>
      <c r="O379" t="s">
        <v>103</v>
      </c>
    </row>
    <row r="380" spans="1:16" x14ac:dyDescent="0.25">
      <c r="A380" s="14"/>
      <c r="B380" s="28"/>
      <c r="C380" s="28"/>
      <c r="D380" t="s">
        <v>100</v>
      </c>
      <c r="E380" t="s">
        <v>50</v>
      </c>
      <c r="F380">
        <v>1</v>
      </c>
      <c r="G380" s="29">
        <v>0.21</v>
      </c>
      <c r="H380" t="s">
        <v>30</v>
      </c>
      <c r="I380" s="30">
        <f>IFERROR(VLOOKUP(H380,CARTON_LOOKUP!$A:$E,3,0),"")</f>
      </c>
      <c r="J380" s="30">
        <f>IFERROR(VLOOKUP(H380,CARTON_LOOKUP!$A:$E,4,0),"")</f>
      </c>
      <c r="K380" s="30">
        <f>IFERROR(VLOOKUP(H380,CARTON_LOOKUP!$A:$E,5,0),"")</f>
      </c>
      <c r="L380" s="31">
        <f>IFERROR(VLOOKUP(H380,CARTON_LOOKUP!$A:$E,2,0),"")</f>
      </c>
      <c r="M380" t="s">
        <v>101</v>
      </c>
      <c r="N380" t="s">
        <v>102</v>
      </c>
      <c r="O380" t="s">
        <v>103</v>
      </c>
    </row>
    <row r="381" spans="1:16" x14ac:dyDescent="0.25">
      <c r="A381" s="14"/>
      <c r="B381" s="28"/>
      <c r="C381" s="28"/>
      <c r="D381" t="s">
        <v>100</v>
      </c>
      <c r="E381" t="s">
        <v>50</v>
      </c>
      <c r="F381">
        <v>1</v>
      </c>
      <c r="G381" s="29">
        <v>0.21</v>
      </c>
      <c r="H381" t="s">
        <v>30</v>
      </c>
      <c r="I381" s="30">
        <f>IFERROR(VLOOKUP(H381,CARTON_LOOKUP!$A:$E,3,0),"")</f>
      </c>
      <c r="J381" s="30">
        <f>IFERROR(VLOOKUP(H381,CARTON_LOOKUP!$A:$E,4,0),"")</f>
      </c>
      <c r="K381" s="30">
        <f>IFERROR(VLOOKUP(H381,CARTON_LOOKUP!$A:$E,5,0),"")</f>
      </c>
      <c r="L381" s="31">
        <f>IFERROR(VLOOKUP(H381,CARTON_LOOKUP!$A:$E,2,0),"")</f>
      </c>
      <c r="M381" t="s">
        <v>101</v>
      </c>
      <c r="N381" t="s">
        <v>102</v>
      </c>
      <c r="O381" t="s">
        <v>103</v>
      </c>
    </row>
    <row r="382" spans="1:16" x14ac:dyDescent="0.25">
      <c r="A382" s="14"/>
      <c r="B382" s="28"/>
      <c r="C382" s="28"/>
      <c r="D382" t="s">
        <v>100</v>
      </c>
      <c r="E382" t="s">
        <v>50</v>
      </c>
      <c r="F382">
        <v>1</v>
      </c>
      <c r="G382" s="29">
        <v>0.21</v>
      </c>
      <c r="H382" t="s">
        <v>30</v>
      </c>
      <c r="I382" s="30">
        <f>IFERROR(VLOOKUP(H382,CARTON_LOOKUP!$A:$E,3,0),"")</f>
      </c>
      <c r="J382" s="30">
        <f>IFERROR(VLOOKUP(H382,CARTON_LOOKUP!$A:$E,4,0),"")</f>
      </c>
      <c r="K382" s="30">
        <f>IFERROR(VLOOKUP(H382,CARTON_LOOKUP!$A:$E,5,0),"")</f>
      </c>
      <c r="L382" s="31">
        <f>IFERROR(VLOOKUP(H382,CARTON_LOOKUP!$A:$E,2,0),"")</f>
      </c>
      <c r="M382" t="s">
        <v>101</v>
      </c>
      <c r="N382" t="s">
        <v>102</v>
      </c>
      <c r="O382" t="s">
        <v>103</v>
      </c>
    </row>
    <row r="383" spans="1:16" x14ac:dyDescent="0.25">
      <c r="A383" s="14"/>
      <c r="B383" s="28"/>
      <c r="C383" s="28"/>
      <c r="D383" t="s">
        <v>100</v>
      </c>
      <c r="E383" t="s">
        <v>50</v>
      </c>
      <c r="F383">
        <v>1</v>
      </c>
      <c r="G383" s="29">
        <v>0.21</v>
      </c>
      <c r="H383" t="s">
        <v>30</v>
      </c>
      <c r="I383" s="30">
        <f>IFERROR(VLOOKUP(H383,CARTON_LOOKUP!$A:$E,3,0),"")</f>
      </c>
      <c r="J383" s="30">
        <f>IFERROR(VLOOKUP(H383,CARTON_LOOKUP!$A:$E,4,0),"")</f>
      </c>
      <c r="K383" s="30">
        <f>IFERROR(VLOOKUP(H383,CARTON_LOOKUP!$A:$E,5,0),"")</f>
      </c>
      <c r="L383" s="31">
        <f>IFERROR(VLOOKUP(H383,CARTON_LOOKUP!$A:$E,2,0),"")</f>
      </c>
      <c r="M383" t="s">
        <v>101</v>
      </c>
      <c r="N383" t="s">
        <v>102</v>
      </c>
      <c r="O383" t="s">
        <v>103</v>
      </c>
    </row>
    <row r="384" spans="1:16" x14ac:dyDescent="0.25">
      <c r="A384" s="14"/>
      <c r="B384" s="28"/>
      <c r="C384" s="28"/>
      <c r="D384" t="s">
        <v>100</v>
      </c>
      <c r="E384" t="s">
        <v>50</v>
      </c>
      <c r="F384">
        <v>1</v>
      </c>
      <c r="G384" s="29">
        <v>0.21</v>
      </c>
      <c r="H384" t="s">
        <v>30</v>
      </c>
      <c r="I384" s="30">
        <f>IFERROR(VLOOKUP(H384,CARTON_LOOKUP!$A:$E,3,0),"")</f>
      </c>
      <c r="J384" s="30">
        <f>IFERROR(VLOOKUP(H384,CARTON_LOOKUP!$A:$E,4,0),"")</f>
      </c>
      <c r="K384" s="30">
        <f>IFERROR(VLOOKUP(H384,CARTON_LOOKUP!$A:$E,5,0),"")</f>
      </c>
      <c r="L384" s="31">
        <f>IFERROR(VLOOKUP(H384,CARTON_LOOKUP!$A:$E,2,0),"")</f>
      </c>
      <c r="M384" t="s">
        <v>101</v>
      </c>
      <c r="N384" t="s">
        <v>102</v>
      </c>
      <c r="O384" t="s">
        <v>103</v>
      </c>
    </row>
    <row r="385" spans="1:16" x14ac:dyDescent="0.25">
      <c r="A385" s="14"/>
      <c r="B385" s="28"/>
      <c r="C385" s="28"/>
      <c r="D385" t="s">
        <v>100</v>
      </c>
      <c r="E385" t="s">
        <v>50</v>
      </c>
      <c r="F385">
        <v>1</v>
      </c>
      <c r="G385" s="29">
        <v>0.21</v>
      </c>
      <c r="H385" t="s">
        <v>30</v>
      </c>
      <c r="I385" s="30">
        <f>IFERROR(VLOOKUP(H385,CARTON_LOOKUP!$A:$E,3,0),"")</f>
      </c>
      <c r="J385" s="30">
        <f>IFERROR(VLOOKUP(H385,CARTON_LOOKUP!$A:$E,4,0),"")</f>
      </c>
      <c r="K385" s="30">
        <f>IFERROR(VLOOKUP(H385,CARTON_LOOKUP!$A:$E,5,0),"")</f>
      </c>
      <c r="L385" s="31">
        <f>IFERROR(VLOOKUP(H385,CARTON_LOOKUP!$A:$E,2,0),"")</f>
      </c>
      <c r="M385" t="s">
        <v>101</v>
      </c>
      <c r="N385" t="s">
        <v>102</v>
      </c>
      <c r="O385" t="s">
        <v>103</v>
      </c>
    </row>
    <row r="386" spans="1:16" x14ac:dyDescent="0.25">
      <c r="A386" s="14"/>
      <c r="B386" s="28"/>
      <c r="C386" s="28"/>
      <c r="D386" t="s">
        <v>100</v>
      </c>
      <c r="E386" t="s">
        <v>50</v>
      </c>
      <c r="F386">
        <v>1</v>
      </c>
      <c r="G386" s="29">
        <v>0.21</v>
      </c>
      <c r="H386" t="s">
        <v>30</v>
      </c>
      <c r="I386" s="30">
        <f>IFERROR(VLOOKUP(H386,CARTON_LOOKUP!$A:$E,3,0),"")</f>
      </c>
      <c r="J386" s="30">
        <f>IFERROR(VLOOKUP(H386,CARTON_LOOKUP!$A:$E,4,0),"")</f>
      </c>
      <c r="K386" s="30">
        <f>IFERROR(VLOOKUP(H386,CARTON_LOOKUP!$A:$E,5,0),"")</f>
      </c>
      <c r="L386" s="31">
        <f>IFERROR(VLOOKUP(H386,CARTON_LOOKUP!$A:$E,2,0),"")</f>
      </c>
      <c r="M386" t="s">
        <v>101</v>
      </c>
      <c r="N386" t="s">
        <v>102</v>
      </c>
      <c r="O386" t="s">
        <v>103</v>
      </c>
    </row>
    <row r="387" spans="1:16" x14ac:dyDescent="0.25">
      <c r="A387" s="14"/>
      <c r="B387" s="28"/>
      <c r="C387" s="28"/>
      <c r="D387" t="s">
        <v>100</v>
      </c>
      <c r="E387" t="s">
        <v>50</v>
      </c>
      <c r="F387">
        <v>1</v>
      </c>
      <c r="G387" s="29">
        <v>0.21</v>
      </c>
      <c r="H387" t="s">
        <v>30</v>
      </c>
      <c r="I387" s="30">
        <f>IFERROR(VLOOKUP(H387,CARTON_LOOKUP!$A:$E,3,0),"")</f>
      </c>
      <c r="J387" s="30">
        <f>IFERROR(VLOOKUP(H387,CARTON_LOOKUP!$A:$E,4,0),"")</f>
      </c>
      <c r="K387" s="30">
        <f>IFERROR(VLOOKUP(H387,CARTON_LOOKUP!$A:$E,5,0),"")</f>
      </c>
      <c r="L387" s="31">
        <f>IFERROR(VLOOKUP(H387,CARTON_LOOKUP!$A:$E,2,0),"")</f>
      </c>
      <c r="M387" t="s">
        <v>101</v>
      </c>
      <c r="N387" t="s">
        <v>102</v>
      </c>
      <c r="O387" t="s">
        <v>103</v>
      </c>
    </row>
    <row r="388" spans="1:16" x14ac:dyDescent="0.25">
      <c r="A388" s="14"/>
      <c r="B388" s="28"/>
      <c r="C388" s="28"/>
      <c r="D388" t="s">
        <v>100</v>
      </c>
      <c r="E388" t="s">
        <v>50</v>
      </c>
      <c r="F388">
        <v>1</v>
      </c>
      <c r="G388" s="29">
        <v>0.21</v>
      </c>
      <c r="H388" t="s">
        <v>30</v>
      </c>
      <c r="I388" s="30">
        <f>IFERROR(VLOOKUP(H388,CARTON_LOOKUP!$A:$E,3,0),"")</f>
      </c>
      <c r="J388" s="30">
        <f>IFERROR(VLOOKUP(H388,CARTON_LOOKUP!$A:$E,4,0),"")</f>
      </c>
      <c r="K388" s="30">
        <f>IFERROR(VLOOKUP(H388,CARTON_LOOKUP!$A:$E,5,0),"")</f>
      </c>
      <c r="L388" s="31">
        <f>IFERROR(VLOOKUP(H388,CARTON_LOOKUP!$A:$E,2,0),"")</f>
      </c>
      <c r="M388" t="s">
        <v>101</v>
      </c>
      <c r="N388" t="s">
        <v>102</v>
      </c>
      <c r="O388" t="s">
        <v>103</v>
      </c>
    </row>
    <row r="389" spans="1:16" x14ac:dyDescent="0.25">
      <c r="A389" s="14"/>
      <c r="B389" s="28"/>
      <c r="C389" s="28"/>
      <c r="D389" t="s">
        <v>100</v>
      </c>
      <c r="E389" t="s">
        <v>50</v>
      </c>
      <c r="F389">
        <v>1</v>
      </c>
      <c r="G389" s="29">
        <v>0.21</v>
      </c>
      <c r="H389" t="s">
        <v>30</v>
      </c>
      <c r="I389" s="30">
        <f>IFERROR(VLOOKUP(H389,CARTON_LOOKUP!$A:$E,3,0),"")</f>
      </c>
      <c r="J389" s="30">
        <f>IFERROR(VLOOKUP(H389,CARTON_LOOKUP!$A:$E,4,0),"")</f>
      </c>
      <c r="K389" s="30">
        <f>IFERROR(VLOOKUP(H389,CARTON_LOOKUP!$A:$E,5,0),"")</f>
      </c>
      <c r="L389" s="31">
        <f>IFERROR(VLOOKUP(H389,CARTON_LOOKUP!$A:$E,2,0),"")</f>
      </c>
      <c r="M389" t="s">
        <v>101</v>
      </c>
      <c r="N389" t="s">
        <v>102</v>
      </c>
      <c r="O389" t="s">
        <v>103</v>
      </c>
    </row>
    <row r="390" spans="1:16" x14ac:dyDescent="0.25">
      <c r="A390" s="14"/>
      <c r="B390" s="28"/>
      <c r="C390" s="28"/>
      <c r="D390" t="s">
        <v>100</v>
      </c>
      <c r="E390" t="s">
        <v>50</v>
      </c>
      <c r="F390">
        <v>1</v>
      </c>
      <c r="G390" s="29">
        <v>0.21</v>
      </c>
      <c r="H390" t="s">
        <v>30</v>
      </c>
      <c r="I390" s="30">
        <f>IFERROR(VLOOKUP(H390,CARTON_LOOKUP!$A:$E,3,0),"")</f>
      </c>
      <c r="J390" s="30">
        <f>IFERROR(VLOOKUP(H390,CARTON_LOOKUP!$A:$E,4,0),"")</f>
      </c>
      <c r="K390" s="30">
        <f>IFERROR(VLOOKUP(H390,CARTON_LOOKUP!$A:$E,5,0),"")</f>
      </c>
      <c r="L390" s="31">
        <f>IFERROR(VLOOKUP(H390,CARTON_LOOKUP!$A:$E,2,0),"")</f>
      </c>
      <c r="M390" t="s">
        <v>101</v>
      </c>
      <c r="N390" t="s">
        <v>102</v>
      </c>
      <c r="O390" t="s">
        <v>103</v>
      </c>
    </row>
    <row r="391" spans="1:16" x14ac:dyDescent="0.25">
      <c r="A391" s="14"/>
      <c r="B391" s="28"/>
      <c r="C391" s="28"/>
      <c r="D391" t="s">
        <v>100</v>
      </c>
      <c r="E391" t="s">
        <v>50</v>
      </c>
      <c r="F391">
        <v>1</v>
      </c>
      <c r="G391" s="29">
        <v>0.21</v>
      </c>
      <c r="H391" t="s">
        <v>30</v>
      </c>
      <c r="I391" s="30">
        <f>IFERROR(VLOOKUP(H391,CARTON_LOOKUP!$A:$E,3,0),"")</f>
      </c>
      <c r="J391" s="30">
        <f>IFERROR(VLOOKUP(H391,CARTON_LOOKUP!$A:$E,4,0),"")</f>
      </c>
      <c r="K391" s="30">
        <f>IFERROR(VLOOKUP(H391,CARTON_LOOKUP!$A:$E,5,0),"")</f>
      </c>
      <c r="L391" s="31">
        <f>IFERROR(VLOOKUP(H391,CARTON_LOOKUP!$A:$E,2,0),"")</f>
      </c>
      <c r="M391" t="s">
        <v>101</v>
      </c>
      <c r="N391" t="s">
        <v>102</v>
      </c>
      <c r="O391" t="s">
        <v>103</v>
      </c>
    </row>
    <row r="392" spans="1:16" x14ac:dyDescent="0.25">
      <c r="A392" s="14"/>
      <c r="B392" s="28"/>
      <c r="C392" s="28"/>
      <c r="D392" t="s">
        <v>100</v>
      </c>
      <c r="E392" t="s">
        <v>50</v>
      </c>
      <c r="F392">
        <v>1</v>
      </c>
      <c r="G392" s="29">
        <v>0.21</v>
      </c>
      <c r="H392" t="s">
        <v>30</v>
      </c>
      <c r="I392" s="30">
        <f>IFERROR(VLOOKUP(H392,CARTON_LOOKUP!$A:$E,3,0),"")</f>
      </c>
      <c r="J392" s="30">
        <f>IFERROR(VLOOKUP(H392,CARTON_LOOKUP!$A:$E,4,0),"")</f>
      </c>
      <c r="K392" s="30">
        <f>IFERROR(VLOOKUP(H392,CARTON_LOOKUP!$A:$E,5,0),"")</f>
      </c>
      <c r="L392" s="31">
        <f>IFERROR(VLOOKUP(H392,CARTON_LOOKUP!$A:$E,2,0),"")</f>
      </c>
      <c r="M392" t="s">
        <v>101</v>
      </c>
      <c r="N392" t="s">
        <v>102</v>
      </c>
      <c r="O392" t="s">
        <v>103</v>
      </c>
    </row>
    <row r="393" spans="1:16" x14ac:dyDescent="0.25">
      <c r="A393" s="14"/>
      <c r="B393" s="28"/>
      <c r="C393" s="28"/>
      <c r="D393" t="s">
        <v>100</v>
      </c>
      <c r="E393" t="s">
        <v>50</v>
      </c>
      <c r="F393">
        <v>1</v>
      </c>
      <c r="G393" s="29">
        <v>0.21</v>
      </c>
      <c r="H393" t="s">
        <v>30</v>
      </c>
      <c r="I393" s="30">
        <f>IFERROR(VLOOKUP(H393,CARTON_LOOKUP!$A:$E,3,0),"")</f>
      </c>
      <c r="J393" s="30">
        <f>IFERROR(VLOOKUP(H393,CARTON_LOOKUP!$A:$E,4,0),"")</f>
      </c>
      <c r="K393" s="30">
        <f>IFERROR(VLOOKUP(H393,CARTON_LOOKUP!$A:$E,5,0),"")</f>
      </c>
      <c r="L393" s="31">
        <f>IFERROR(VLOOKUP(H393,CARTON_LOOKUP!$A:$E,2,0),"")</f>
      </c>
      <c r="M393" t="s">
        <v>101</v>
      </c>
      <c r="N393" t="s">
        <v>102</v>
      </c>
      <c r="O393" t="s">
        <v>103</v>
      </c>
    </row>
    <row r="394" spans="1:16" x14ac:dyDescent="0.25">
      <c r="A394" s="14"/>
      <c r="B394" s="28"/>
      <c r="C394" s="28"/>
      <c r="D394" t="s">
        <v>100</v>
      </c>
      <c r="E394" t="s">
        <v>50</v>
      </c>
      <c r="F394">
        <v>1</v>
      </c>
      <c r="G394" s="29">
        <v>0.21</v>
      </c>
      <c r="H394" t="s">
        <v>30</v>
      </c>
      <c r="I394" s="30">
        <f>IFERROR(VLOOKUP(H394,CARTON_LOOKUP!$A:$E,3,0),"")</f>
      </c>
      <c r="J394" s="30">
        <f>IFERROR(VLOOKUP(H394,CARTON_LOOKUP!$A:$E,4,0),"")</f>
      </c>
      <c r="K394" s="30">
        <f>IFERROR(VLOOKUP(H394,CARTON_LOOKUP!$A:$E,5,0),"")</f>
      </c>
      <c r="L394" s="31">
        <f>IFERROR(VLOOKUP(H394,CARTON_LOOKUP!$A:$E,2,0),"")</f>
      </c>
      <c r="M394" t="s">
        <v>101</v>
      </c>
      <c r="N394" t="s">
        <v>102</v>
      </c>
      <c r="O394" t="s">
        <v>103</v>
      </c>
    </row>
    <row r="395" spans="1:16" x14ac:dyDescent="0.25">
      <c r="A395" s="14"/>
      <c r="B395" s="28"/>
      <c r="C395" s="28"/>
      <c r="D395" t="s">
        <v>100</v>
      </c>
      <c r="E395" t="s">
        <v>50</v>
      </c>
      <c r="F395">
        <v>1</v>
      </c>
      <c r="G395" s="29">
        <v>0.21</v>
      </c>
      <c r="H395" t="s">
        <v>30</v>
      </c>
      <c r="I395" s="30">
        <f>IFERROR(VLOOKUP(H395,CARTON_LOOKUP!$A:$E,3,0),"")</f>
      </c>
      <c r="J395" s="30">
        <f>IFERROR(VLOOKUP(H395,CARTON_LOOKUP!$A:$E,4,0),"")</f>
      </c>
      <c r="K395" s="30">
        <f>IFERROR(VLOOKUP(H395,CARTON_LOOKUP!$A:$E,5,0),"")</f>
      </c>
      <c r="L395" s="31">
        <f>IFERROR(VLOOKUP(H395,CARTON_LOOKUP!$A:$E,2,0),"")</f>
      </c>
      <c r="M395" t="s">
        <v>101</v>
      </c>
      <c r="N395" t="s">
        <v>102</v>
      </c>
      <c r="O395" t="s">
        <v>103</v>
      </c>
    </row>
    <row r="396" spans="1:16" x14ac:dyDescent="0.25">
      <c r="A396" s="14"/>
      <c r="B396" s="28"/>
      <c r="C396" s="28"/>
      <c r="D396" t="s">
        <v>100</v>
      </c>
      <c r="E396" t="s">
        <v>50</v>
      </c>
      <c r="F396">
        <v>1</v>
      </c>
      <c r="G396" s="29">
        <v>0.21</v>
      </c>
      <c r="H396" t="s">
        <v>30</v>
      </c>
      <c r="I396" s="30">
        <f>IFERROR(VLOOKUP(H396,CARTON_LOOKUP!$A:$E,3,0),"")</f>
      </c>
      <c r="J396" s="30">
        <f>IFERROR(VLOOKUP(H396,CARTON_LOOKUP!$A:$E,4,0),"")</f>
      </c>
      <c r="K396" s="30">
        <f>IFERROR(VLOOKUP(H396,CARTON_LOOKUP!$A:$E,5,0),"")</f>
      </c>
      <c r="L396" s="31">
        <f>IFERROR(VLOOKUP(H396,CARTON_LOOKUP!$A:$E,2,0),"")</f>
      </c>
      <c r="M396" t="s">
        <v>101</v>
      </c>
      <c r="N396" t="s">
        <v>102</v>
      </c>
      <c r="O396" t="s">
        <v>103</v>
      </c>
    </row>
    <row r="397" spans="1:16" x14ac:dyDescent="0.25">
      <c r="A397" s="14"/>
      <c r="B397" s="28"/>
      <c r="C397" s="28"/>
      <c r="D397" t="s">
        <v>100</v>
      </c>
      <c r="E397" t="s">
        <v>50</v>
      </c>
      <c r="F397">
        <v>1</v>
      </c>
      <c r="G397" s="29">
        <v>0.21</v>
      </c>
      <c r="H397" t="s">
        <v>30</v>
      </c>
      <c r="I397" s="30">
        <f>IFERROR(VLOOKUP(H397,CARTON_LOOKUP!$A:$E,3,0),"")</f>
      </c>
      <c r="J397" s="30">
        <f>IFERROR(VLOOKUP(H397,CARTON_LOOKUP!$A:$E,4,0),"")</f>
      </c>
      <c r="K397" s="30">
        <f>IFERROR(VLOOKUP(H397,CARTON_LOOKUP!$A:$E,5,0),"")</f>
      </c>
      <c r="L397" s="31">
        <f>IFERROR(VLOOKUP(H397,CARTON_LOOKUP!$A:$E,2,0),"")</f>
      </c>
      <c r="M397" t="s">
        <v>101</v>
      </c>
      <c r="N397" t="s">
        <v>102</v>
      </c>
      <c r="O397" t="s">
        <v>103</v>
      </c>
    </row>
    <row r="398" spans="1:16" x14ac:dyDescent="0.25">
      <c r="A398" s="14"/>
      <c r="B398" s="28"/>
      <c r="C398" s="28"/>
      <c r="D398" t="s">
        <v>100</v>
      </c>
      <c r="E398" t="s">
        <v>50</v>
      </c>
      <c r="F398">
        <v>1</v>
      </c>
      <c r="G398" s="29">
        <v>0.21</v>
      </c>
      <c r="H398" t="s">
        <v>30</v>
      </c>
      <c r="I398" s="30">
        <f>IFERROR(VLOOKUP(H398,CARTON_LOOKUP!$A:$E,3,0),"")</f>
      </c>
      <c r="J398" s="30">
        <f>IFERROR(VLOOKUP(H398,CARTON_LOOKUP!$A:$E,4,0),"")</f>
      </c>
      <c r="K398" s="30">
        <f>IFERROR(VLOOKUP(H398,CARTON_LOOKUP!$A:$E,5,0),"")</f>
      </c>
      <c r="L398" s="31">
        <f>IFERROR(VLOOKUP(H398,CARTON_LOOKUP!$A:$E,2,0),"")</f>
      </c>
      <c r="M398" t="s">
        <v>101</v>
      </c>
      <c r="N398" t="s">
        <v>102</v>
      </c>
      <c r="O398" t="s">
        <v>103</v>
      </c>
    </row>
    <row r="399" spans="1:16" x14ac:dyDescent="0.25">
      <c r="A399" s="14"/>
      <c r="B399" s="28"/>
      <c r="C399" s="28"/>
      <c r="D399" t="s">
        <v>100</v>
      </c>
      <c r="E399" t="s">
        <v>50</v>
      </c>
      <c r="F399">
        <v>1</v>
      </c>
      <c r="G399" s="29">
        <v>0.21</v>
      </c>
      <c r="H399" t="s">
        <v>30</v>
      </c>
      <c r="I399" s="30">
        <f>IFERROR(VLOOKUP(H399,CARTON_LOOKUP!$A:$E,3,0),"")</f>
      </c>
      <c r="J399" s="30">
        <f>IFERROR(VLOOKUP(H399,CARTON_LOOKUP!$A:$E,4,0),"")</f>
      </c>
      <c r="K399" s="30">
        <f>IFERROR(VLOOKUP(H399,CARTON_LOOKUP!$A:$E,5,0),"")</f>
      </c>
      <c r="L399" s="31">
        <f>IFERROR(VLOOKUP(H399,CARTON_LOOKUP!$A:$E,2,0),"")</f>
      </c>
      <c r="M399" t="s">
        <v>101</v>
      </c>
      <c r="N399" t="s">
        <v>102</v>
      </c>
      <c r="O399" t="s">
        <v>103</v>
      </c>
    </row>
    <row r="400" spans="1:16" x14ac:dyDescent="0.25">
      <c r="A400" s="14"/>
      <c r="B400" s="28"/>
      <c r="C400" s="28"/>
      <c r="D400" t="s">
        <v>100</v>
      </c>
      <c r="E400" t="s">
        <v>50</v>
      </c>
      <c r="F400">
        <v>1</v>
      </c>
      <c r="G400" s="29">
        <v>0.21</v>
      </c>
      <c r="H400" t="s">
        <v>30</v>
      </c>
      <c r="I400" s="30">
        <f>IFERROR(VLOOKUP(H400,CARTON_LOOKUP!$A:$E,3,0),"")</f>
      </c>
      <c r="J400" s="30">
        <f>IFERROR(VLOOKUP(H400,CARTON_LOOKUP!$A:$E,4,0),"")</f>
      </c>
      <c r="K400" s="30">
        <f>IFERROR(VLOOKUP(H400,CARTON_LOOKUP!$A:$E,5,0),"")</f>
      </c>
      <c r="L400" s="31">
        <f>IFERROR(VLOOKUP(H400,CARTON_LOOKUP!$A:$E,2,0),"")</f>
      </c>
      <c r="M400" t="s">
        <v>101</v>
      </c>
      <c r="N400" t="s">
        <v>102</v>
      </c>
      <c r="O400" t="s">
        <v>103</v>
      </c>
    </row>
    <row r="401" spans="1:16" x14ac:dyDescent="0.25">
      <c r="A401" s="14"/>
      <c r="B401" s="28"/>
      <c r="C401" s="28"/>
      <c r="D401" t="s">
        <v>100</v>
      </c>
      <c r="E401" t="s">
        <v>50</v>
      </c>
      <c r="F401">
        <v>1</v>
      </c>
      <c r="G401" s="29">
        <v>0.21</v>
      </c>
      <c r="H401" t="s">
        <v>30</v>
      </c>
      <c r="I401" s="30">
        <f>IFERROR(VLOOKUP(H401,CARTON_LOOKUP!$A:$E,3,0),"")</f>
      </c>
      <c r="J401" s="30">
        <f>IFERROR(VLOOKUP(H401,CARTON_LOOKUP!$A:$E,4,0),"")</f>
      </c>
      <c r="K401" s="30">
        <f>IFERROR(VLOOKUP(H401,CARTON_LOOKUP!$A:$E,5,0),"")</f>
      </c>
      <c r="L401" s="31">
        <f>IFERROR(VLOOKUP(H401,CARTON_LOOKUP!$A:$E,2,0),"")</f>
      </c>
      <c r="M401" t="s">
        <v>101</v>
      </c>
      <c r="N401" t="s">
        <v>102</v>
      </c>
      <c r="O401" t="s">
        <v>103</v>
      </c>
    </row>
    <row r="402" spans="1:16" x14ac:dyDescent="0.25">
      <c r="A402" s="14"/>
      <c r="B402" s="28"/>
      <c r="C402" s="28"/>
      <c r="D402" t="s">
        <v>100</v>
      </c>
      <c r="E402" t="s">
        <v>50</v>
      </c>
      <c r="F402">
        <v>1</v>
      </c>
      <c r="G402" s="29">
        <v>0.21</v>
      </c>
      <c r="H402" t="s">
        <v>30</v>
      </c>
      <c r="I402" s="30">
        <f>IFERROR(VLOOKUP(H402,CARTON_LOOKUP!$A:$E,3,0),"")</f>
      </c>
      <c r="J402" s="30">
        <f>IFERROR(VLOOKUP(H402,CARTON_LOOKUP!$A:$E,4,0),"")</f>
      </c>
      <c r="K402" s="30">
        <f>IFERROR(VLOOKUP(H402,CARTON_LOOKUP!$A:$E,5,0),"")</f>
      </c>
      <c r="L402" s="31">
        <f>IFERROR(VLOOKUP(H402,CARTON_LOOKUP!$A:$E,2,0),"")</f>
      </c>
      <c r="M402" t="s">
        <v>101</v>
      </c>
      <c r="N402" t="s">
        <v>102</v>
      </c>
      <c r="O402" t="s">
        <v>103</v>
      </c>
    </row>
    <row r="403" spans="1:16" x14ac:dyDescent="0.25">
      <c r="A403" s="14"/>
      <c r="B403" s="28"/>
      <c r="C403" s="28"/>
      <c r="D403" t="s">
        <v>100</v>
      </c>
      <c r="E403" t="s">
        <v>50</v>
      </c>
      <c r="F403">
        <v>1</v>
      </c>
      <c r="G403" s="29">
        <v>0.21</v>
      </c>
      <c r="H403" t="s">
        <v>30</v>
      </c>
      <c r="I403" s="30">
        <f>IFERROR(VLOOKUP(H403,CARTON_LOOKUP!$A:$E,3,0),"")</f>
      </c>
      <c r="J403" s="30">
        <f>IFERROR(VLOOKUP(H403,CARTON_LOOKUP!$A:$E,4,0),"")</f>
      </c>
      <c r="K403" s="30">
        <f>IFERROR(VLOOKUP(H403,CARTON_LOOKUP!$A:$E,5,0),"")</f>
      </c>
      <c r="L403" s="31">
        <f>IFERROR(VLOOKUP(H403,CARTON_LOOKUP!$A:$E,2,0),"")</f>
      </c>
      <c r="M403" t="s">
        <v>101</v>
      </c>
      <c r="N403" t="s">
        <v>102</v>
      </c>
      <c r="O403" t="s">
        <v>103</v>
      </c>
    </row>
    <row r="404" spans="1:16" x14ac:dyDescent="0.25">
      <c r="A404" s="14"/>
      <c r="B404" s="28"/>
      <c r="C404" s="28"/>
      <c r="D404" t="s">
        <v>100</v>
      </c>
      <c r="E404" t="s">
        <v>50</v>
      </c>
      <c r="F404">
        <v>1</v>
      </c>
      <c r="G404" s="29">
        <v>0.21</v>
      </c>
      <c r="H404" t="s">
        <v>30</v>
      </c>
      <c r="I404" s="30">
        <f>IFERROR(VLOOKUP(H404,CARTON_LOOKUP!$A:$E,3,0),"")</f>
      </c>
      <c r="J404" s="30">
        <f>IFERROR(VLOOKUP(H404,CARTON_LOOKUP!$A:$E,4,0),"")</f>
      </c>
      <c r="K404" s="30">
        <f>IFERROR(VLOOKUP(H404,CARTON_LOOKUP!$A:$E,5,0),"")</f>
      </c>
      <c r="L404" s="31">
        <f>IFERROR(VLOOKUP(H404,CARTON_LOOKUP!$A:$E,2,0),"")</f>
      </c>
      <c r="M404" t="s">
        <v>101</v>
      </c>
      <c r="N404" t="s">
        <v>102</v>
      </c>
      <c r="O404" t="s">
        <v>103</v>
      </c>
    </row>
    <row r="405" spans="1:16" x14ac:dyDescent="0.25">
      <c r="A405" s="14"/>
      <c r="B405" s="28"/>
      <c r="C405" s="28"/>
      <c r="D405" t="s">
        <v>100</v>
      </c>
      <c r="E405" t="s">
        <v>50</v>
      </c>
      <c r="F405">
        <v>1</v>
      </c>
      <c r="G405" s="29">
        <v>0.21</v>
      </c>
      <c r="H405" t="s">
        <v>30</v>
      </c>
      <c r="I405" s="30">
        <f>IFERROR(VLOOKUP(H405,CARTON_LOOKUP!$A:$E,3,0),"")</f>
      </c>
      <c r="J405" s="30">
        <f>IFERROR(VLOOKUP(H405,CARTON_LOOKUP!$A:$E,4,0),"")</f>
      </c>
      <c r="K405" s="30">
        <f>IFERROR(VLOOKUP(H405,CARTON_LOOKUP!$A:$E,5,0),"")</f>
      </c>
      <c r="L405" s="31">
        <f>IFERROR(VLOOKUP(H405,CARTON_LOOKUP!$A:$E,2,0),"")</f>
      </c>
      <c r="M405" t="s">
        <v>101</v>
      </c>
      <c r="N405" t="s">
        <v>102</v>
      </c>
      <c r="O405" t="s">
        <v>103</v>
      </c>
    </row>
    <row r="406" spans="1:16" x14ac:dyDescent="0.25">
      <c r="A406" s="14"/>
      <c r="B406" s="28"/>
      <c r="C406" s="28"/>
      <c r="D406" t="s">
        <v>100</v>
      </c>
      <c r="E406" t="s">
        <v>50</v>
      </c>
      <c r="F406">
        <v>1</v>
      </c>
      <c r="G406" s="29">
        <v>0.21</v>
      </c>
      <c r="H406" t="s">
        <v>30</v>
      </c>
      <c r="I406" s="30">
        <f>IFERROR(VLOOKUP(H406,CARTON_LOOKUP!$A:$E,3,0),"")</f>
      </c>
      <c r="J406" s="30">
        <f>IFERROR(VLOOKUP(H406,CARTON_LOOKUP!$A:$E,4,0),"")</f>
      </c>
      <c r="K406" s="30">
        <f>IFERROR(VLOOKUP(H406,CARTON_LOOKUP!$A:$E,5,0),"")</f>
      </c>
      <c r="L406" s="31">
        <f>IFERROR(VLOOKUP(H406,CARTON_LOOKUP!$A:$E,2,0),"")</f>
      </c>
      <c r="M406" t="s">
        <v>101</v>
      </c>
      <c r="N406" t="s">
        <v>102</v>
      </c>
      <c r="O406" t="s">
        <v>103</v>
      </c>
    </row>
    <row r="407" spans="1:16" x14ac:dyDescent="0.25">
      <c r="A407" s="14"/>
      <c r="B407" s="28"/>
      <c r="C407" s="28"/>
      <c r="D407" t="s">
        <v>100</v>
      </c>
      <c r="E407" t="s">
        <v>50</v>
      </c>
      <c r="F407">
        <v>1</v>
      </c>
      <c r="G407" s="29">
        <v>0.21</v>
      </c>
      <c r="H407" t="s">
        <v>30</v>
      </c>
      <c r="I407" s="30">
        <f>IFERROR(VLOOKUP(H407,CARTON_LOOKUP!$A:$E,3,0),"")</f>
      </c>
      <c r="J407" s="30">
        <f>IFERROR(VLOOKUP(H407,CARTON_LOOKUP!$A:$E,4,0),"")</f>
      </c>
      <c r="K407" s="30">
        <f>IFERROR(VLOOKUP(H407,CARTON_LOOKUP!$A:$E,5,0),"")</f>
      </c>
      <c r="L407" s="31">
        <f>IFERROR(VLOOKUP(H407,CARTON_LOOKUP!$A:$E,2,0),"")</f>
      </c>
      <c r="M407" t="s">
        <v>101</v>
      </c>
      <c r="N407" t="s">
        <v>102</v>
      </c>
      <c r="O407" t="s">
        <v>103</v>
      </c>
    </row>
    <row r="408" spans="1:16" x14ac:dyDescent="0.25">
      <c r="A408" s="14"/>
      <c r="B408" s="28"/>
      <c r="C408" s="28"/>
      <c r="D408" t="s">
        <v>100</v>
      </c>
      <c r="E408" t="s">
        <v>50</v>
      </c>
      <c r="F408">
        <v>1</v>
      </c>
      <c r="G408" s="29">
        <v>0.21</v>
      </c>
      <c r="H408" t="s">
        <v>30</v>
      </c>
      <c r="I408" s="30">
        <f>IFERROR(VLOOKUP(H408,CARTON_LOOKUP!$A:$E,3,0),"")</f>
      </c>
      <c r="J408" s="30">
        <f>IFERROR(VLOOKUP(H408,CARTON_LOOKUP!$A:$E,4,0),"")</f>
      </c>
      <c r="K408" s="30">
        <f>IFERROR(VLOOKUP(H408,CARTON_LOOKUP!$A:$E,5,0),"")</f>
      </c>
      <c r="L408" s="31">
        <f>IFERROR(VLOOKUP(H408,CARTON_LOOKUP!$A:$E,2,0),"")</f>
      </c>
      <c r="M408" t="s">
        <v>101</v>
      </c>
      <c r="N408" t="s">
        <v>102</v>
      </c>
      <c r="O408" t="s">
        <v>103</v>
      </c>
    </row>
    <row r="409" spans="1:16" x14ac:dyDescent="0.25">
      <c r="A409" s="14"/>
      <c r="B409" s="28"/>
      <c r="C409" s="28"/>
      <c r="D409" t="s">
        <v>100</v>
      </c>
      <c r="E409" t="s">
        <v>50</v>
      </c>
      <c r="F409">
        <v>1</v>
      </c>
      <c r="G409" s="29">
        <v>0.21</v>
      </c>
      <c r="H409" t="s">
        <v>30</v>
      </c>
      <c r="I409" s="30">
        <f>IFERROR(VLOOKUP(H409,CARTON_LOOKUP!$A:$E,3,0),"")</f>
      </c>
      <c r="J409" s="30">
        <f>IFERROR(VLOOKUP(H409,CARTON_LOOKUP!$A:$E,4,0),"")</f>
      </c>
      <c r="K409" s="30">
        <f>IFERROR(VLOOKUP(H409,CARTON_LOOKUP!$A:$E,5,0),"")</f>
      </c>
      <c r="L409" s="31">
        <f>IFERROR(VLOOKUP(H409,CARTON_LOOKUP!$A:$E,2,0),"")</f>
      </c>
      <c r="M409" t="s">
        <v>101</v>
      </c>
      <c r="N409" t="s">
        <v>102</v>
      </c>
      <c r="O409" t="s">
        <v>103</v>
      </c>
    </row>
    <row r="410" spans="1:16" x14ac:dyDescent="0.25">
      <c r="A410" s="14"/>
      <c r="B410" s="28"/>
      <c r="C410" s="28"/>
      <c r="D410" t="s">
        <v>100</v>
      </c>
      <c r="E410" t="s">
        <v>50</v>
      </c>
      <c r="F410">
        <v>1</v>
      </c>
      <c r="G410" s="29">
        <v>0.21</v>
      </c>
      <c r="H410" t="s">
        <v>30</v>
      </c>
      <c r="I410" s="30">
        <f>IFERROR(VLOOKUP(H410,CARTON_LOOKUP!$A:$E,3,0),"")</f>
      </c>
      <c r="J410" s="30">
        <f>IFERROR(VLOOKUP(H410,CARTON_LOOKUP!$A:$E,4,0),"")</f>
      </c>
      <c r="K410" s="30">
        <f>IFERROR(VLOOKUP(H410,CARTON_LOOKUP!$A:$E,5,0),"")</f>
      </c>
      <c r="L410" s="31">
        <f>IFERROR(VLOOKUP(H410,CARTON_LOOKUP!$A:$E,2,0),"")</f>
      </c>
      <c r="M410" t="s">
        <v>101</v>
      </c>
      <c r="N410" t="s">
        <v>102</v>
      </c>
      <c r="O410" t="s">
        <v>103</v>
      </c>
    </row>
    <row r="411" spans="1:16" x14ac:dyDescent="0.25">
      <c r="A411" s="14"/>
      <c r="B411" s="28"/>
      <c r="C411" s="28"/>
      <c r="D411" t="s">
        <v>100</v>
      </c>
      <c r="E411" t="s">
        <v>50</v>
      </c>
      <c r="F411">
        <v>1</v>
      </c>
      <c r="G411" s="29">
        <v>0.21</v>
      </c>
      <c r="H411" t="s">
        <v>30</v>
      </c>
      <c r="I411" s="30">
        <f>IFERROR(VLOOKUP(H411,CARTON_LOOKUP!$A:$E,3,0),"")</f>
      </c>
      <c r="J411" s="30">
        <f>IFERROR(VLOOKUP(H411,CARTON_LOOKUP!$A:$E,4,0),"")</f>
      </c>
      <c r="K411" s="30">
        <f>IFERROR(VLOOKUP(H411,CARTON_LOOKUP!$A:$E,5,0),"")</f>
      </c>
      <c r="L411" s="31">
        <f>IFERROR(VLOOKUP(H411,CARTON_LOOKUP!$A:$E,2,0),"")</f>
      </c>
      <c r="M411" t="s">
        <v>101</v>
      </c>
      <c r="N411" t="s">
        <v>102</v>
      </c>
      <c r="O411" t="s">
        <v>103</v>
      </c>
    </row>
    <row r="412" spans="1:16" x14ac:dyDescent="0.25">
      <c r="A412" s="14"/>
      <c r="B412" s="28"/>
      <c r="C412" s="28"/>
      <c r="D412" t="s">
        <v>100</v>
      </c>
      <c r="E412" t="s">
        <v>50</v>
      </c>
      <c r="F412">
        <v>1</v>
      </c>
      <c r="G412" s="29">
        <v>0.21</v>
      </c>
      <c r="H412" t="s">
        <v>30</v>
      </c>
      <c r="I412" s="30">
        <f>IFERROR(VLOOKUP(H412,CARTON_LOOKUP!$A:$E,3,0),"")</f>
      </c>
      <c r="J412" s="30">
        <f>IFERROR(VLOOKUP(H412,CARTON_LOOKUP!$A:$E,4,0),"")</f>
      </c>
      <c r="K412" s="30">
        <f>IFERROR(VLOOKUP(H412,CARTON_LOOKUP!$A:$E,5,0),"")</f>
      </c>
      <c r="L412" s="31">
        <f>IFERROR(VLOOKUP(H412,CARTON_LOOKUP!$A:$E,2,0),"")</f>
      </c>
      <c r="M412" t="s">
        <v>101</v>
      </c>
      <c r="N412" t="s">
        <v>102</v>
      </c>
      <c r="O412" t="s">
        <v>103</v>
      </c>
    </row>
    <row r="413" spans="1:16" x14ac:dyDescent="0.25">
      <c r="A413" s="14"/>
      <c r="B413" s="28"/>
      <c r="C413" s="28"/>
      <c r="D413" t="s">
        <v>100</v>
      </c>
      <c r="E413" t="s">
        <v>50</v>
      </c>
      <c r="F413">
        <v>1</v>
      </c>
      <c r="G413" s="29">
        <v>0.21</v>
      </c>
      <c r="H413" t="s">
        <v>30</v>
      </c>
      <c r="I413" s="30">
        <f>IFERROR(VLOOKUP(H413,CARTON_LOOKUP!$A:$E,3,0),"")</f>
      </c>
      <c r="J413" s="30">
        <f>IFERROR(VLOOKUP(H413,CARTON_LOOKUP!$A:$E,4,0),"")</f>
      </c>
      <c r="K413" s="30">
        <f>IFERROR(VLOOKUP(H413,CARTON_LOOKUP!$A:$E,5,0),"")</f>
      </c>
      <c r="L413" s="31">
        <f>IFERROR(VLOOKUP(H413,CARTON_LOOKUP!$A:$E,2,0),"")</f>
      </c>
      <c r="M413" t="s">
        <v>101</v>
      </c>
      <c r="N413" t="s">
        <v>102</v>
      </c>
      <c r="O413" t="s">
        <v>103</v>
      </c>
    </row>
    <row r="414" spans="1:16" x14ac:dyDescent="0.25">
      <c r="A414" s="14"/>
      <c r="B414" s="28"/>
      <c r="C414" s="28"/>
      <c r="D414" t="s">
        <v>100</v>
      </c>
      <c r="E414" t="s">
        <v>50</v>
      </c>
      <c r="F414">
        <v>1</v>
      </c>
      <c r="G414" s="29">
        <v>0.21</v>
      </c>
      <c r="H414" t="s">
        <v>30</v>
      </c>
      <c r="I414" s="30">
        <f>IFERROR(VLOOKUP(H414,CARTON_LOOKUP!$A:$E,3,0),"")</f>
      </c>
      <c r="J414" s="30">
        <f>IFERROR(VLOOKUP(H414,CARTON_LOOKUP!$A:$E,4,0),"")</f>
      </c>
      <c r="K414" s="30">
        <f>IFERROR(VLOOKUP(H414,CARTON_LOOKUP!$A:$E,5,0),"")</f>
      </c>
      <c r="L414" s="31">
        <f>IFERROR(VLOOKUP(H414,CARTON_LOOKUP!$A:$E,2,0),"")</f>
      </c>
      <c r="M414" t="s">
        <v>101</v>
      </c>
      <c r="N414" t="s">
        <v>102</v>
      </c>
      <c r="O414" t="s">
        <v>103</v>
      </c>
    </row>
    <row r="415" spans="1:16" x14ac:dyDescent="0.25">
      <c r="A415" s="14"/>
      <c r="B415" s="28"/>
      <c r="C415" s="28"/>
      <c r="D415" t="s">
        <v>100</v>
      </c>
      <c r="E415" t="s">
        <v>50</v>
      </c>
      <c r="F415">
        <v>1</v>
      </c>
      <c r="G415" s="29">
        <v>0.21</v>
      </c>
      <c r="H415" t="s">
        <v>30</v>
      </c>
      <c r="I415" s="30">
        <f>IFERROR(VLOOKUP(H415,CARTON_LOOKUP!$A:$E,3,0),"")</f>
      </c>
      <c r="J415" s="30">
        <f>IFERROR(VLOOKUP(H415,CARTON_LOOKUP!$A:$E,4,0),"")</f>
      </c>
      <c r="K415" s="30">
        <f>IFERROR(VLOOKUP(H415,CARTON_LOOKUP!$A:$E,5,0),"")</f>
      </c>
      <c r="L415" s="31">
        <f>IFERROR(VLOOKUP(H415,CARTON_LOOKUP!$A:$E,2,0),"")</f>
      </c>
      <c r="M415" t="s">
        <v>101</v>
      </c>
      <c r="N415" t="s">
        <v>102</v>
      </c>
      <c r="O415" t="s">
        <v>103</v>
      </c>
    </row>
    <row r="416" spans="1:16" x14ac:dyDescent="0.25">
      <c r="A416" s="14"/>
      <c r="B416" s="28"/>
      <c r="C416" s="28"/>
      <c r="D416" t="s">
        <v>100</v>
      </c>
      <c r="E416" t="s">
        <v>50</v>
      </c>
      <c r="F416">
        <v>1</v>
      </c>
      <c r="G416" s="29">
        <v>0.21</v>
      </c>
      <c r="H416" t="s">
        <v>30</v>
      </c>
      <c r="I416" s="30">
        <f>IFERROR(VLOOKUP(H416,CARTON_LOOKUP!$A:$E,3,0),"")</f>
      </c>
      <c r="J416" s="30">
        <f>IFERROR(VLOOKUP(H416,CARTON_LOOKUP!$A:$E,4,0),"")</f>
      </c>
      <c r="K416" s="30">
        <f>IFERROR(VLOOKUP(H416,CARTON_LOOKUP!$A:$E,5,0),"")</f>
      </c>
      <c r="L416" s="31">
        <f>IFERROR(VLOOKUP(H416,CARTON_LOOKUP!$A:$E,2,0),"")</f>
      </c>
      <c r="M416" t="s">
        <v>101</v>
      </c>
      <c r="N416" t="s">
        <v>102</v>
      </c>
      <c r="O416" t="s">
        <v>103</v>
      </c>
    </row>
    <row r="417" spans="1:16" x14ac:dyDescent="0.25">
      <c r="A417" s="14"/>
      <c r="B417" s="28"/>
      <c r="C417" s="28"/>
      <c r="D417" t="s">
        <v>100</v>
      </c>
      <c r="E417" t="s">
        <v>50</v>
      </c>
      <c r="F417">
        <v>1</v>
      </c>
      <c r="G417" s="29">
        <v>0.21</v>
      </c>
      <c r="H417" t="s">
        <v>30</v>
      </c>
      <c r="I417" s="30">
        <f>IFERROR(VLOOKUP(H417,CARTON_LOOKUP!$A:$E,3,0),"")</f>
      </c>
      <c r="J417" s="30">
        <f>IFERROR(VLOOKUP(H417,CARTON_LOOKUP!$A:$E,4,0),"")</f>
      </c>
      <c r="K417" s="30">
        <f>IFERROR(VLOOKUP(H417,CARTON_LOOKUP!$A:$E,5,0),"")</f>
      </c>
      <c r="L417" s="31">
        <f>IFERROR(VLOOKUP(H417,CARTON_LOOKUP!$A:$E,2,0),"")</f>
      </c>
      <c r="M417" t="s">
        <v>101</v>
      </c>
      <c r="N417" t="s">
        <v>102</v>
      </c>
      <c r="O417" t="s">
        <v>103</v>
      </c>
    </row>
    <row r="418" spans="1:16" x14ac:dyDescent="0.25">
      <c r="A418" s="14"/>
      <c r="B418" s="28"/>
      <c r="C418" s="28"/>
      <c r="D418" t="s">
        <v>100</v>
      </c>
      <c r="E418" t="s">
        <v>50</v>
      </c>
      <c r="F418">
        <v>1</v>
      </c>
      <c r="G418" s="29">
        <v>0.21</v>
      </c>
      <c r="H418" t="s">
        <v>30</v>
      </c>
      <c r="I418" s="30">
        <f>IFERROR(VLOOKUP(H418,CARTON_LOOKUP!$A:$E,3,0),"")</f>
      </c>
      <c r="J418" s="30">
        <f>IFERROR(VLOOKUP(H418,CARTON_LOOKUP!$A:$E,4,0),"")</f>
      </c>
      <c r="K418" s="30">
        <f>IFERROR(VLOOKUP(H418,CARTON_LOOKUP!$A:$E,5,0),"")</f>
      </c>
      <c r="L418" s="31">
        <f>IFERROR(VLOOKUP(H418,CARTON_LOOKUP!$A:$E,2,0),"")</f>
      </c>
      <c r="M418" t="s">
        <v>101</v>
      </c>
      <c r="N418" t="s">
        <v>102</v>
      </c>
      <c r="O418" t="s">
        <v>103</v>
      </c>
    </row>
    <row r="419" spans="1:16" x14ac:dyDescent="0.25">
      <c r="A419" s="14"/>
      <c r="B419" s="28"/>
      <c r="C419" s="28"/>
      <c r="D419" t="s">
        <v>100</v>
      </c>
      <c r="E419" t="s">
        <v>50</v>
      </c>
      <c r="F419">
        <v>1</v>
      </c>
      <c r="G419" s="29">
        <v>0.21</v>
      </c>
      <c r="H419" t="s">
        <v>30</v>
      </c>
      <c r="I419" s="30">
        <f>IFERROR(VLOOKUP(H419,CARTON_LOOKUP!$A:$E,3,0),"")</f>
      </c>
      <c r="J419" s="30">
        <f>IFERROR(VLOOKUP(H419,CARTON_LOOKUP!$A:$E,4,0),"")</f>
      </c>
      <c r="K419" s="30">
        <f>IFERROR(VLOOKUP(H419,CARTON_LOOKUP!$A:$E,5,0),"")</f>
      </c>
      <c r="L419" s="31">
        <f>IFERROR(VLOOKUP(H419,CARTON_LOOKUP!$A:$E,2,0),"")</f>
      </c>
      <c r="M419" t="s">
        <v>101</v>
      </c>
      <c r="N419" t="s">
        <v>102</v>
      </c>
      <c r="O419" t="s">
        <v>103</v>
      </c>
    </row>
    <row r="420" spans="1:16" x14ac:dyDescent="0.25">
      <c r="A420" s="14"/>
      <c r="B420" s="28"/>
      <c r="C420" s="28"/>
      <c r="D420" t="s">
        <v>100</v>
      </c>
      <c r="E420" t="s">
        <v>50</v>
      </c>
      <c r="F420">
        <v>1</v>
      </c>
      <c r="G420" s="29">
        <v>0.21</v>
      </c>
      <c r="H420" t="s">
        <v>30</v>
      </c>
      <c r="I420" s="30">
        <f>IFERROR(VLOOKUP(H420,CARTON_LOOKUP!$A:$E,3,0),"")</f>
      </c>
      <c r="J420" s="30">
        <f>IFERROR(VLOOKUP(H420,CARTON_LOOKUP!$A:$E,4,0),"")</f>
      </c>
      <c r="K420" s="30">
        <f>IFERROR(VLOOKUP(H420,CARTON_LOOKUP!$A:$E,5,0),"")</f>
      </c>
      <c r="L420" s="31">
        <f>IFERROR(VLOOKUP(H420,CARTON_LOOKUP!$A:$E,2,0),"")</f>
      </c>
      <c r="M420" t="s">
        <v>101</v>
      </c>
      <c r="N420" t="s">
        <v>102</v>
      </c>
      <c r="O420" t="s">
        <v>103</v>
      </c>
    </row>
    <row r="421" spans="1:16" x14ac:dyDescent="0.25">
      <c r="A421" s="14"/>
      <c r="B421" s="28"/>
      <c r="C421" s="28"/>
      <c r="D421" t="s">
        <v>100</v>
      </c>
      <c r="E421" t="s">
        <v>50</v>
      </c>
      <c r="F421">
        <v>1</v>
      </c>
      <c r="G421" s="29">
        <v>0.21</v>
      </c>
      <c r="H421" t="s">
        <v>30</v>
      </c>
      <c r="I421" s="30">
        <f>IFERROR(VLOOKUP(H421,CARTON_LOOKUP!$A:$E,3,0),"")</f>
      </c>
      <c r="J421" s="30">
        <f>IFERROR(VLOOKUP(H421,CARTON_LOOKUP!$A:$E,4,0),"")</f>
      </c>
      <c r="K421" s="30">
        <f>IFERROR(VLOOKUP(H421,CARTON_LOOKUP!$A:$E,5,0),"")</f>
      </c>
      <c r="L421" s="31">
        <f>IFERROR(VLOOKUP(H421,CARTON_LOOKUP!$A:$E,2,0),"")</f>
      </c>
      <c r="M421" t="s">
        <v>101</v>
      </c>
      <c r="N421" t="s">
        <v>102</v>
      </c>
      <c r="O421" t="s">
        <v>103</v>
      </c>
    </row>
    <row r="422" spans="1:16" x14ac:dyDescent="0.25">
      <c r="A422" s="14"/>
      <c r="B422" s="28"/>
      <c r="C422" s="28"/>
      <c r="D422" t="s">
        <v>100</v>
      </c>
      <c r="E422" t="s">
        <v>50</v>
      </c>
      <c r="F422">
        <v>1</v>
      </c>
      <c r="G422" s="29">
        <v>0.21</v>
      </c>
      <c r="H422" t="s">
        <v>30</v>
      </c>
      <c r="I422" s="30">
        <f>IFERROR(VLOOKUP(H422,CARTON_LOOKUP!$A:$E,3,0),"")</f>
      </c>
      <c r="J422" s="30">
        <f>IFERROR(VLOOKUP(H422,CARTON_LOOKUP!$A:$E,4,0),"")</f>
      </c>
      <c r="K422" s="30">
        <f>IFERROR(VLOOKUP(H422,CARTON_LOOKUP!$A:$E,5,0),"")</f>
      </c>
      <c r="L422" s="31">
        <f>IFERROR(VLOOKUP(H422,CARTON_LOOKUP!$A:$E,2,0),"")</f>
      </c>
      <c r="M422" t="s">
        <v>101</v>
      </c>
      <c r="N422" t="s">
        <v>102</v>
      </c>
      <c r="O422" t="s">
        <v>103</v>
      </c>
    </row>
    <row r="423" spans="1:16" x14ac:dyDescent="0.25">
      <c r="A423" s="14"/>
      <c r="B423" s="28"/>
      <c r="C423" s="28"/>
      <c r="D423" t="s">
        <v>100</v>
      </c>
      <c r="E423" t="s">
        <v>50</v>
      </c>
      <c r="F423">
        <v>1</v>
      </c>
      <c r="G423" s="29">
        <v>0.21</v>
      </c>
      <c r="H423" t="s">
        <v>30</v>
      </c>
      <c r="I423" s="30">
        <f>IFERROR(VLOOKUP(H423,CARTON_LOOKUP!$A:$E,3,0),"")</f>
      </c>
      <c r="J423" s="30">
        <f>IFERROR(VLOOKUP(H423,CARTON_LOOKUP!$A:$E,4,0),"")</f>
      </c>
      <c r="K423" s="30">
        <f>IFERROR(VLOOKUP(H423,CARTON_LOOKUP!$A:$E,5,0),"")</f>
      </c>
      <c r="L423" s="31">
        <f>IFERROR(VLOOKUP(H423,CARTON_LOOKUP!$A:$E,2,0),"")</f>
      </c>
      <c r="M423" t="s">
        <v>101</v>
      </c>
      <c r="N423" t="s">
        <v>102</v>
      </c>
      <c r="O423" t="s">
        <v>103</v>
      </c>
    </row>
    <row r="424" spans="1:16" x14ac:dyDescent="0.25">
      <c r="A424" s="14"/>
      <c r="B424" s="28"/>
      <c r="C424" s="28"/>
      <c r="D424" t="s">
        <v>100</v>
      </c>
      <c r="E424" t="s">
        <v>50</v>
      </c>
      <c r="F424">
        <v>1</v>
      </c>
      <c r="G424" s="29">
        <v>0.21</v>
      </c>
      <c r="H424" t="s">
        <v>30</v>
      </c>
      <c r="I424" s="30">
        <f>IFERROR(VLOOKUP(H424,CARTON_LOOKUP!$A:$E,3,0),"")</f>
      </c>
      <c r="J424" s="30">
        <f>IFERROR(VLOOKUP(H424,CARTON_LOOKUP!$A:$E,4,0),"")</f>
      </c>
      <c r="K424" s="30">
        <f>IFERROR(VLOOKUP(H424,CARTON_LOOKUP!$A:$E,5,0),"")</f>
      </c>
      <c r="L424" s="31">
        <f>IFERROR(VLOOKUP(H424,CARTON_LOOKUP!$A:$E,2,0),"")</f>
      </c>
      <c r="M424" t="s">
        <v>101</v>
      </c>
      <c r="N424" t="s">
        <v>102</v>
      </c>
      <c r="O424" t="s">
        <v>103</v>
      </c>
    </row>
    <row r="425" spans="1:16" x14ac:dyDescent="0.25">
      <c r="A425" s="14"/>
      <c r="B425" s="28"/>
      <c r="C425" s="28"/>
      <c r="D425" t="s">
        <v>100</v>
      </c>
      <c r="E425" t="s">
        <v>50</v>
      </c>
      <c r="F425">
        <v>1</v>
      </c>
      <c r="G425" s="29">
        <v>0.21</v>
      </c>
      <c r="H425" t="s">
        <v>30</v>
      </c>
      <c r="I425" s="30">
        <f>IFERROR(VLOOKUP(H425,CARTON_LOOKUP!$A:$E,3,0),"")</f>
      </c>
      <c r="J425" s="30">
        <f>IFERROR(VLOOKUP(H425,CARTON_LOOKUP!$A:$E,4,0),"")</f>
      </c>
      <c r="K425" s="30">
        <f>IFERROR(VLOOKUP(H425,CARTON_LOOKUP!$A:$E,5,0),"")</f>
      </c>
      <c r="L425" s="31">
        <f>IFERROR(VLOOKUP(H425,CARTON_LOOKUP!$A:$E,2,0),"")</f>
      </c>
      <c r="M425" t="s">
        <v>101</v>
      </c>
      <c r="N425" t="s">
        <v>102</v>
      </c>
      <c r="O425" t="s">
        <v>103</v>
      </c>
    </row>
    <row r="426" spans="1:16" x14ac:dyDescent="0.25">
      <c r="A426" s="14"/>
      <c r="B426" s="28"/>
      <c r="C426" s="28"/>
      <c r="D426" t="s">
        <v>100</v>
      </c>
      <c r="E426" t="s">
        <v>50</v>
      </c>
      <c r="F426">
        <v>1</v>
      </c>
      <c r="G426" s="29">
        <v>0.21</v>
      </c>
      <c r="H426" t="s">
        <v>30</v>
      </c>
      <c r="I426" s="30">
        <f>IFERROR(VLOOKUP(H426,CARTON_LOOKUP!$A:$E,3,0),"")</f>
      </c>
      <c r="J426" s="30">
        <f>IFERROR(VLOOKUP(H426,CARTON_LOOKUP!$A:$E,4,0),"")</f>
      </c>
      <c r="K426" s="30">
        <f>IFERROR(VLOOKUP(H426,CARTON_LOOKUP!$A:$E,5,0),"")</f>
      </c>
      <c r="L426" s="31">
        <f>IFERROR(VLOOKUP(H426,CARTON_LOOKUP!$A:$E,2,0),"")</f>
      </c>
      <c r="M426" t="s">
        <v>101</v>
      </c>
      <c r="N426" t="s">
        <v>102</v>
      </c>
      <c r="O426" t="s">
        <v>103</v>
      </c>
    </row>
    <row r="427" spans="1:16" x14ac:dyDescent="0.25">
      <c r="A427" s="14"/>
      <c r="B427" s="28"/>
      <c r="C427" s="28"/>
      <c r="D427" t="s">
        <v>100</v>
      </c>
      <c r="E427" t="s">
        <v>50</v>
      </c>
      <c r="F427">
        <v>1</v>
      </c>
      <c r="G427" s="29">
        <v>0.21</v>
      </c>
      <c r="H427" t="s">
        <v>30</v>
      </c>
      <c r="I427" s="30">
        <f>IFERROR(VLOOKUP(H427,CARTON_LOOKUP!$A:$E,3,0),"")</f>
      </c>
      <c r="J427" s="30">
        <f>IFERROR(VLOOKUP(H427,CARTON_LOOKUP!$A:$E,4,0),"")</f>
      </c>
      <c r="K427" s="30">
        <f>IFERROR(VLOOKUP(H427,CARTON_LOOKUP!$A:$E,5,0),"")</f>
      </c>
      <c r="L427" s="31">
        <f>IFERROR(VLOOKUP(H427,CARTON_LOOKUP!$A:$E,2,0),"")</f>
      </c>
      <c r="M427" t="s">
        <v>101</v>
      </c>
      <c r="N427" t="s">
        <v>102</v>
      </c>
      <c r="O427" t="s">
        <v>103</v>
      </c>
    </row>
    <row r="428" spans="1:16" x14ac:dyDescent="0.25">
      <c r="A428" s="14"/>
      <c r="B428" s="28"/>
      <c r="C428" s="28"/>
      <c r="D428" t="s">
        <v>100</v>
      </c>
      <c r="E428" t="s">
        <v>50</v>
      </c>
      <c r="F428">
        <v>1</v>
      </c>
      <c r="G428" s="29">
        <v>0.21</v>
      </c>
      <c r="H428" t="s">
        <v>30</v>
      </c>
      <c r="I428" s="30">
        <f>IFERROR(VLOOKUP(H428,CARTON_LOOKUP!$A:$E,3,0),"")</f>
      </c>
      <c r="J428" s="30">
        <f>IFERROR(VLOOKUP(H428,CARTON_LOOKUP!$A:$E,4,0),"")</f>
      </c>
      <c r="K428" s="30">
        <f>IFERROR(VLOOKUP(H428,CARTON_LOOKUP!$A:$E,5,0),"")</f>
      </c>
      <c r="L428" s="31">
        <f>IFERROR(VLOOKUP(H428,CARTON_LOOKUP!$A:$E,2,0),"")</f>
      </c>
      <c r="M428" t="s">
        <v>101</v>
      </c>
      <c r="N428" t="s">
        <v>102</v>
      </c>
      <c r="O428" t="s">
        <v>103</v>
      </c>
    </row>
    <row r="429" spans="1:16" x14ac:dyDescent="0.25">
      <c r="A429" s="14"/>
      <c r="B429" s="28"/>
      <c r="C429" s="28"/>
      <c r="D429" t="s">
        <v>100</v>
      </c>
      <c r="E429" t="s">
        <v>50</v>
      </c>
      <c r="F429">
        <v>1</v>
      </c>
      <c r="G429" s="29">
        <v>0.21</v>
      </c>
      <c r="H429" t="s">
        <v>30</v>
      </c>
      <c r="I429" s="30">
        <f>IFERROR(VLOOKUP(H429,CARTON_LOOKUP!$A:$E,3,0),"")</f>
      </c>
      <c r="J429" s="30">
        <f>IFERROR(VLOOKUP(H429,CARTON_LOOKUP!$A:$E,4,0),"")</f>
      </c>
      <c r="K429" s="30">
        <f>IFERROR(VLOOKUP(H429,CARTON_LOOKUP!$A:$E,5,0),"")</f>
      </c>
      <c r="L429" s="31">
        <f>IFERROR(VLOOKUP(H429,CARTON_LOOKUP!$A:$E,2,0),"")</f>
      </c>
      <c r="M429" t="s">
        <v>101</v>
      </c>
      <c r="N429" t="s">
        <v>102</v>
      </c>
      <c r="O429" t="s">
        <v>103</v>
      </c>
    </row>
    <row r="430" spans="1:16" x14ac:dyDescent="0.25">
      <c r="A430" s="14"/>
      <c r="B430" s="28"/>
      <c r="C430" s="28"/>
      <c r="D430" t="s">
        <v>100</v>
      </c>
      <c r="E430" t="s">
        <v>50</v>
      </c>
      <c r="F430">
        <v>1</v>
      </c>
      <c r="G430" s="29">
        <v>0.21</v>
      </c>
      <c r="H430" t="s">
        <v>30</v>
      </c>
      <c r="I430" s="30">
        <f>IFERROR(VLOOKUP(H430,CARTON_LOOKUP!$A:$E,3,0),"")</f>
      </c>
      <c r="J430" s="30">
        <f>IFERROR(VLOOKUP(H430,CARTON_LOOKUP!$A:$E,4,0),"")</f>
      </c>
      <c r="K430" s="30">
        <f>IFERROR(VLOOKUP(H430,CARTON_LOOKUP!$A:$E,5,0),"")</f>
      </c>
      <c r="L430" s="31">
        <f>IFERROR(VLOOKUP(H430,CARTON_LOOKUP!$A:$E,2,0),"")</f>
      </c>
      <c r="M430" t="s">
        <v>101</v>
      </c>
      <c r="N430" t="s">
        <v>102</v>
      </c>
      <c r="O430" t="s">
        <v>103</v>
      </c>
    </row>
    <row r="431" spans="1:16" x14ac:dyDescent="0.25">
      <c r="A431" s="14"/>
      <c r="B431" s="28"/>
      <c r="C431" s="28"/>
      <c r="D431" t="s">
        <v>100</v>
      </c>
      <c r="E431" t="s">
        <v>50</v>
      </c>
      <c r="F431">
        <v>1</v>
      </c>
      <c r="G431" s="29">
        <v>0.21</v>
      </c>
      <c r="H431" t="s">
        <v>30</v>
      </c>
      <c r="I431" s="30">
        <f>IFERROR(VLOOKUP(H431,CARTON_LOOKUP!$A:$E,3,0),"")</f>
      </c>
      <c r="J431" s="30">
        <f>IFERROR(VLOOKUP(H431,CARTON_LOOKUP!$A:$E,4,0),"")</f>
      </c>
      <c r="K431" s="30">
        <f>IFERROR(VLOOKUP(H431,CARTON_LOOKUP!$A:$E,5,0),"")</f>
      </c>
      <c r="L431" s="31">
        <f>IFERROR(VLOOKUP(H431,CARTON_LOOKUP!$A:$E,2,0),"")</f>
      </c>
      <c r="M431" t="s">
        <v>101</v>
      </c>
      <c r="N431" t="s">
        <v>102</v>
      </c>
      <c r="O431" t="s">
        <v>103</v>
      </c>
    </row>
    <row r="432" spans="1:16" x14ac:dyDescent="0.25">
      <c r="A432" s="14"/>
      <c r="B432" s="28"/>
      <c r="C432" s="28"/>
      <c r="D432" t="s">
        <v>100</v>
      </c>
      <c r="E432" t="s">
        <v>50</v>
      </c>
      <c r="F432">
        <v>1</v>
      </c>
      <c r="G432" s="29">
        <v>0.21</v>
      </c>
      <c r="H432" t="s">
        <v>30</v>
      </c>
      <c r="I432" s="30">
        <f>IFERROR(VLOOKUP(H432,CARTON_LOOKUP!$A:$E,3,0),"")</f>
      </c>
      <c r="J432" s="30">
        <f>IFERROR(VLOOKUP(H432,CARTON_LOOKUP!$A:$E,4,0),"")</f>
      </c>
      <c r="K432" s="30">
        <f>IFERROR(VLOOKUP(H432,CARTON_LOOKUP!$A:$E,5,0),"")</f>
      </c>
      <c r="L432" s="31">
        <f>IFERROR(VLOOKUP(H432,CARTON_LOOKUP!$A:$E,2,0),"")</f>
      </c>
      <c r="M432" t="s">
        <v>101</v>
      </c>
      <c r="N432" t="s">
        <v>102</v>
      </c>
      <c r="O432" t="s">
        <v>103</v>
      </c>
    </row>
    <row r="433" spans="1:16" x14ac:dyDescent="0.25">
      <c r="A433" s="14"/>
      <c r="B433" s="28"/>
      <c r="C433" s="28"/>
      <c r="D433" t="s">
        <v>100</v>
      </c>
      <c r="E433" t="s">
        <v>50</v>
      </c>
      <c r="F433">
        <v>1</v>
      </c>
      <c r="G433" s="29">
        <v>0.21</v>
      </c>
      <c r="H433" t="s">
        <v>30</v>
      </c>
      <c r="I433" s="30">
        <f>IFERROR(VLOOKUP(H433,CARTON_LOOKUP!$A:$E,3,0),"")</f>
      </c>
      <c r="J433" s="30">
        <f>IFERROR(VLOOKUP(H433,CARTON_LOOKUP!$A:$E,4,0),"")</f>
      </c>
      <c r="K433" s="30">
        <f>IFERROR(VLOOKUP(H433,CARTON_LOOKUP!$A:$E,5,0),"")</f>
      </c>
      <c r="L433" s="31">
        <f>IFERROR(VLOOKUP(H433,CARTON_LOOKUP!$A:$E,2,0),"")</f>
      </c>
      <c r="M433" t="s">
        <v>101</v>
      </c>
      <c r="N433" t="s">
        <v>102</v>
      </c>
      <c r="O433" t="s">
        <v>103</v>
      </c>
    </row>
    <row r="434" spans="1:16" x14ac:dyDescent="0.25">
      <c r="A434" s="14"/>
      <c r="B434" s="28"/>
      <c r="C434" s="28"/>
      <c r="D434" t="s">
        <v>100</v>
      </c>
      <c r="E434" t="s">
        <v>50</v>
      </c>
      <c r="F434">
        <v>1</v>
      </c>
      <c r="G434" s="29">
        <v>0.21</v>
      </c>
      <c r="H434" t="s">
        <v>30</v>
      </c>
      <c r="I434" s="30">
        <f>IFERROR(VLOOKUP(H434,CARTON_LOOKUP!$A:$E,3,0),"")</f>
      </c>
      <c r="J434" s="30">
        <f>IFERROR(VLOOKUP(H434,CARTON_LOOKUP!$A:$E,4,0),"")</f>
      </c>
      <c r="K434" s="30">
        <f>IFERROR(VLOOKUP(H434,CARTON_LOOKUP!$A:$E,5,0),"")</f>
      </c>
      <c r="L434" s="31">
        <f>IFERROR(VLOOKUP(H434,CARTON_LOOKUP!$A:$E,2,0),"")</f>
      </c>
      <c r="M434" t="s">
        <v>101</v>
      </c>
      <c r="N434" t="s">
        <v>102</v>
      </c>
      <c r="O434" t="s">
        <v>103</v>
      </c>
    </row>
    <row r="435" spans="1:16" x14ac:dyDescent="0.25">
      <c r="A435" s="14"/>
      <c r="B435" s="28"/>
      <c r="C435" s="28"/>
      <c r="D435" t="s">
        <v>100</v>
      </c>
      <c r="E435" t="s">
        <v>50</v>
      </c>
      <c r="F435">
        <v>1</v>
      </c>
      <c r="G435" s="29">
        <v>0.21</v>
      </c>
      <c r="H435" t="s">
        <v>30</v>
      </c>
      <c r="I435" s="30">
        <f>IFERROR(VLOOKUP(H435,CARTON_LOOKUP!$A:$E,3,0),"")</f>
      </c>
      <c r="J435" s="30">
        <f>IFERROR(VLOOKUP(H435,CARTON_LOOKUP!$A:$E,4,0),"")</f>
      </c>
      <c r="K435" s="30">
        <f>IFERROR(VLOOKUP(H435,CARTON_LOOKUP!$A:$E,5,0),"")</f>
      </c>
      <c r="L435" s="31">
        <f>IFERROR(VLOOKUP(H435,CARTON_LOOKUP!$A:$E,2,0),"")</f>
      </c>
      <c r="M435" t="s">
        <v>101</v>
      </c>
      <c r="N435" t="s">
        <v>102</v>
      </c>
      <c r="O435" t="s">
        <v>103</v>
      </c>
    </row>
    <row r="436" spans="1:16" x14ac:dyDescent="0.25">
      <c r="A436" s="14"/>
      <c r="B436" s="28"/>
      <c r="C436" s="28"/>
      <c r="D436" t="s">
        <v>100</v>
      </c>
      <c r="E436" t="s">
        <v>50</v>
      </c>
      <c r="F436">
        <v>1</v>
      </c>
      <c r="G436" s="29">
        <v>0.21</v>
      </c>
      <c r="H436" t="s">
        <v>30</v>
      </c>
      <c r="I436" s="30">
        <f>IFERROR(VLOOKUP(H436,CARTON_LOOKUP!$A:$E,3,0),"")</f>
      </c>
      <c r="J436" s="30">
        <f>IFERROR(VLOOKUP(H436,CARTON_LOOKUP!$A:$E,4,0),"")</f>
      </c>
      <c r="K436" s="30">
        <f>IFERROR(VLOOKUP(H436,CARTON_LOOKUP!$A:$E,5,0),"")</f>
      </c>
      <c r="L436" s="31">
        <f>IFERROR(VLOOKUP(H436,CARTON_LOOKUP!$A:$E,2,0),"")</f>
      </c>
      <c r="M436" t="s">
        <v>101</v>
      </c>
      <c r="N436" t="s">
        <v>102</v>
      </c>
      <c r="O436" t="s">
        <v>103</v>
      </c>
    </row>
    <row r="437" spans="1:16" x14ac:dyDescent="0.25">
      <c r="A437" s="14"/>
      <c r="B437" s="28"/>
      <c r="C437" s="28"/>
      <c r="D437" t="s">
        <v>100</v>
      </c>
      <c r="E437" t="s">
        <v>50</v>
      </c>
      <c r="F437">
        <v>1</v>
      </c>
      <c r="G437" s="29">
        <v>0.21</v>
      </c>
      <c r="H437" t="s">
        <v>30</v>
      </c>
      <c r="I437" s="30">
        <f>IFERROR(VLOOKUP(H437,CARTON_LOOKUP!$A:$E,3,0),"")</f>
      </c>
      <c r="J437" s="30">
        <f>IFERROR(VLOOKUP(H437,CARTON_LOOKUP!$A:$E,4,0),"")</f>
      </c>
      <c r="K437" s="30">
        <f>IFERROR(VLOOKUP(H437,CARTON_LOOKUP!$A:$E,5,0),"")</f>
      </c>
      <c r="L437" s="31">
        <f>IFERROR(VLOOKUP(H437,CARTON_LOOKUP!$A:$E,2,0),"")</f>
      </c>
      <c r="M437" t="s">
        <v>101</v>
      </c>
      <c r="N437" t="s">
        <v>102</v>
      </c>
      <c r="O437" t="s">
        <v>103</v>
      </c>
    </row>
    <row r="438" spans="1:16" x14ac:dyDescent="0.25">
      <c r="A438" s="14"/>
      <c r="B438" s="28"/>
      <c r="C438" s="28"/>
      <c r="D438" t="s">
        <v>100</v>
      </c>
      <c r="E438" t="s">
        <v>50</v>
      </c>
      <c r="F438">
        <v>1</v>
      </c>
      <c r="G438" s="29">
        <v>0.21</v>
      </c>
      <c r="H438" t="s">
        <v>30</v>
      </c>
      <c r="I438" s="30">
        <f>IFERROR(VLOOKUP(H438,CARTON_LOOKUP!$A:$E,3,0),"")</f>
      </c>
      <c r="J438" s="30">
        <f>IFERROR(VLOOKUP(H438,CARTON_LOOKUP!$A:$E,4,0),"")</f>
      </c>
      <c r="K438" s="30">
        <f>IFERROR(VLOOKUP(H438,CARTON_LOOKUP!$A:$E,5,0),"")</f>
      </c>
      <c r="L438" s="31">
        <f>IFERROR(VLOOKUP(H438,CARTON_LOOKUP!$A:$E,2,0),"")</f>
      </c>
      <c r="M438" t="s">
        <v>101</v>
      </c>
      <c r="N438" t="s">
        <v>102</v>
      </c>
      <c r="O438" t="s">
        <v>103</v>
      </c>
    </row>
    <row r="439" spans="1:16" x14ac:dyDescent="0.25">
      <c r="A439" s="14"/>
      <c r="B439" s="28"/>
      <c r="C439" s="28"/>
      <c r="D439" t="s">
        <v>100</v>
      </c>
      <c r="E439" t="s">
        <v>50</v>
      </c>
      <c r="F439">
        <v>1</v>
      </c>
      <c r="G439" s="29">
        <v>0.21</v>
      </c>
      <c r="H439" t="s">
        <v>30</v>
      </c>
      <c r="I439" s="30">
        <f>IFERROR(VLOOKUP(H439,CARTON_LOOKUP!$A:$E,3,0),"")</f>
      </c>
      <c r="J439" s="30">
        <f>IFERROR(VLOOKUP(H439,CARTON_LOOKUP!$A:$E,4,0),"")</f>
      </c>
      <c r="K439" s="30">
        <f>IFERROR(VLOOKUP(H439,CARTON_LOOKUP!$A:$E,5,0),"")</f>
      </c>
      <c r="L439" s="31">
        <f>IFERROR(VLOOKUP(H439,CARTON_LOOKUP!$A:$E,2,0),"")</f>
      </c>
      <c r="M439" t="s">
        <v>101</v>
      </c>
      <c r="N439" t="s">
        <v>102</v>
      </c>
      <c r="O439" t="s">
        <v>103</v>
      </c>
    </row>
    <row r="440" spans="1:16" x14ac:dyDescent="0.25">
      <c r="A440" s="14"/>
      <c r="B440" s="28"/>
      <c r="C440" s="28"/>
      <c r="D440" t="s">
        <v>100</v>
      </c>
      <c r="E440" t="s">
        <v>50</v>
      </c>
      <c r="F440">
        <v>1</v>
      </c>
      <c r="G440" s="29">
        <v>0.21</v>
      </c>
      <c r="H440" t="s">
        <v>30</v>
      </c>
      <c r="I440" s="30">
        <f>IFERROR(VLOOKUP(H440,CARTON_LOOKUP!$A:$E,3,0),"")</f>
      </c>
      <c r="J440" s="30">
        <f>IFERROR(VLOOKUP(H440,CARTON_LOOKUP!$A:$E,4,0),"")</f>
      </c>
      <c r="K440" s="30">
        <f>IFERROR(VLOOKUP(H440,CARTON_LOOKUP!$A:$E,5,0),"")</f>
      </c>
      <c r="L440" s="31">
        <f>IFERROR(VLOOKUP(H440,CARTON_LOOKUP!$A:$E,2,0),"")</f>
      </c>
      <c r="M440" t="s">
        <v>101</v>
      </c>
      <c r="N440" t="s">
        <v>102</v>
      </c>
      <c r="O440" t="s">
        <v>103</v>
      </c>
    </row>
    <row r="441" spans="1:16" x14ac:dyDescent="0.25">
      <c r="A441" s="14"/>
      <c r="B441" s="28"/>
      <c r="C441" s="28"/>
      <c r="D441" t="s">
        <v>100</v>
      </c>
      <c r="E441" t="s">
        <v>50</v>
      </c>
      <c r="F441">
        <v>1</v>
      </c>
      <c r="G441" s="29">
        <v>0.21</v>
      </c>
      <c r="H441" t="s">
        <v>30</v>
      </c>
      <c r="I441" s="30">
        <f>IFERROR(VLOOKUP(H441,CARTON_LOOKUP!$A:$E,3,0),"")</f>
      </c>
      <c r="J441" s="30">
        <f>IFERROR(VLOOKUP(H441,CARTON_LOOKUP!$A:$E,4,0),"")</f>
      </c>
      <c r="K441" s="30">
        <f>IFERROR(VLOOKUP(H441,CARTON_LOOKUP!$A:$E,5,0),"")</f>
      </c>
      <c r="L441" s="31">
        <f>IFERROR(VLOOKUP(H441,CARTON_LOOKUP!$A:$E,2,0),"")</f>
      </c>
      <c r="M441" t="s">
        <v>101</v>
      </c>
      <c r="N441" t="s">
        <v>102</v>
      </c>
      <c r="O441" t="s">
        <v>103</v>
      </c>
    </row>
    <row r="442" spans="1:16" x14ac:dyDescent="0.25">
      <c r="A442" s="14"/>
      <c r="B442" s="28"/>
      <c r="C442" s="28"/>
      <c r="D442" t="s">
        <v>100</v>
      </c>
      <c r="E442" t="s">
        <v>50</v>
      </c>
      <c r="F442">
        <v>1</v>
      </c>
      <c r="G442" s="29">
        <v>0.21</v>
      </c>
      <c r="H442" t="s">
        <v>30</v>
      </c>
      <c r="I442" s="30">
        <f>IFERROR(VLOOKUP(H442,CARTON_LOOKUP!$A:$E,3,0),"")</f>
      </c>
      <c r="J442" s="30">
        <f>IFERROR(VLOOKUP(H442,CARTON_LOOKUP!$A:$E,4,0),"")</f>
      </c>
      <c r="K442" s="30">
        <f>IFERROR(VLOOKUP(H442,CARTON_LOOKUP!$A:$E,5,0),"")</f>
      </c>
      <c r="L442" s="31">
        <f>IFERROR(VLOOKUP(H442,CARTON_LOOKUP!$A:$E,2,0),"")</f>
      </c>
      <c r="M442" t="s">
        <v>101</v>
      </c>
      <c r="N442" t="s">
        <v>102</v>
      </c>
      <c r="O442" t="s">
        <v>103</v>
      </c>
    </row>
    <row r="443" spans="1:16" x14ac:dyDescent="0.25">
      <c r="A443" s="14"/>
      <c r="B443" s="28"/>
      <c r="C443" s="28"/>
      <c r="D443" t="s">
        <v>100</v>
      </c>
      <c r="E443" t="s">
        <v>50</v>
      </c>
      <c r="F443">
        <v>1</v>
      </c>
      <c r="G443" s="29">
        <v>0.21</v>
      </c>
      <c r="H443" t="s">
        <v>30</v>
      </c>
      <c r="I443" s="30">
        <f>IFERROR(VLOOKUP(H443,CARTON_LOOKUP!$A:$E,3,0),"")</f>
      </c>
      <c r="J443" s="30">
        <f>IFERROR(VLOOKUP(H443,CARTON_LOOKUP!$A:$E,4,0),"")</f>
      </c>
      <c r="K443" s="30">
        <f>IFERROR(VLOOKUP(H443,CARTON_LOOKUP!$A:$E,5,0),"")</f>
      </c>
      <c r="L443" s="31">
        <f>IFERROR(VLOOKUP(H443,CARTON_LOOKUP!$A:$E,2,0),"")</f>
      </c>
      <c r="M443" t="s">
        <v>101</v>
      </c>
      <c r="N443" t="s">
        <v>102</v>
      </c>
      <c r="O443" t="s">
        <v>103</v>
      </c>
    </row>
    <row r="444" spans="1:16" x14ac:dyDescent="0.25">
      <c r="A444" s="14"/>
      <c r="B444" s="28"/>
      <c r="C444" s="28"/>
      <c r="D444" t="s">
        <v>100</v>
      </c>
      <c r="E444" t="s">
        <v>50</v>
      </c>
      <c r="F444">
        <v>1</v>
      </c>
      <c r="G444" s="29">
        <v>0.21</v>
      </c>
      <c r="H444" t="s">
        <v>30</v>
      </c>
      <c r="I444" s="30">
        <f>IFERROR(VLOOKUP(H444,CARTON_LOOKUP!$A:$E,3,0),"")</f>
      </c>
      <c r="J444" s="30">
        <f>IFERROR(VLOOKUP(H444,CARTON_LOOKUP!$A:$E,4,0),"")</f>
      </c>
      <c r="K444" s="30">
        <f>IFERROR(VLOOKUP(H444,CARTON_LOOKUP!$A:$E,5,0),"")</f>
      </c>
      <c r="L444" s="31">
        <f>IFERROR(VLOOKUP(H444,CARTON_LOOKUP!$A:$E,2,0),"")</f>
      </c>
      <c r="M444" t="s">
        <v>101</v>
      </c>
      <c r="N444" t="s">
        <v>102</v>
      </c>
      <c r="O444" t="s">
        <v>103</v>
      </c>
    </row>
    <row r="445" spans="1:16" x14ac:dyDescent="0.25">
      <c r="A445" s="14"/>
      <c r="B445" s="28"/>
      <c r="C445" s="28"/>
      <c r="D445" t="s">
        <v>100</v>
      </c>
      <c r="E445" t="s">
        <v>50</v>
      </c>
      <c r="F445">
        <v>1</v>
      </c>
      <c r="G445" s="29">
        <v>0.21</v>
      </c>
      <c r="H445" t="s">
        <v>30</v>
      </c>
      <c r="I445" s="30">
        <f>IFERROR(VLOOKUP(H445,CARTON_LOOKUP!$A:$E,3,0),"")</f>
      </c>
      <c r="J445" s="30">
        <f>IFERROR(VLOOKUP(H445,CARTON_LOOKUP!$A:$E,4,0),"")</f>
      </c>
      <c r="K445" s="30">
        <f>IFERROR(VLOOKUP(H445,CARTON_LOOKUP!$A:$E,5,0),"")</f>
      </c>
      <c r="L445" s="31">
        <f>IFERROR(VLOOKUP(H445,CARTON_LOOKUP!$A:$E,2,0),"")</f>
      </c>
      <c r="M445" t="s">
        <v>101</v>
      </c>
      <c r="N445" t="s">
        <v>102</v>
      </c>
      <c r="O445" t="s">
        <v>103</v>
      </c>
    </row>
    <row r="446" spans="1:16" x14ac:dyDescent="0.25">
      <c r="A446" s="14"/>
      <c r="B446" s="28"/>
      <c r="C446" s="28"/>
      <c r="D446" t="s">
        <v>100</v>
      </c>
      <c r="E446" t="s">
        <v>50</v>
      </c>
      <c r="F446">
        <v>1</v>
      </c>
      <c r="G446" s="29">
        <v>0.21</v>
      </c>
      <c r="H446" t="s">
        <v>30</v>
      </c>
      <c r="I446" s="30">
        <f>IFERROR(VLOOKUP(H446,CARTON_LOOKUP!$A:$E,3,0),"")</f>
      </c>
      <c r="J446" s="30">
        <f>IFERROR(VLOOKUP(H446,CARTON_LOOKUP!$A:$E,4,0),"")</f>
      </c>
      <c r="K446" s="30">
        <f>IFERROR(VLOOKUP(H446,CARTON_LOOKUP!$A:$E,5,0),"")</f>
      </c>
      <c r="L446" s="31">
        <f>IFERROR(VLOOKUP(H446,CARTON_LOOKUP!$A:$E,2,0),"")</f>
      </c>
      <c r="M446" t="s">
        <v>101</v>
      </c>
      <c r="N446" t="s">
        <v>102</v>
      </c>
      <c r="O446" t="s">
        <v>103</v>
      </c>
    </row>
    <row r="447" spans="1:16" x14ac:dyDescent="0.25">
      <c r="A447" s="14"/>
      <c r="B447" s="28"/>
      <c r="C447" s="28"/>
      <c r="D447" t="s">
        <v>100</v>
      </c>
      <c r="E447" t="s">
        <v>50</v>
      </c>
      <c r="F447">
        <v>1</v>
      </c>
      <c r="G447" s="29">
        <v>0.21</v>
      </c>
      <c r="H447" t="s">
        <v>30</v>
      </c>
      <c r="I447" s="30">
        <f>IFERROR(VLOOKUP(H447,CARTON_LOOKUP!$A:$E,3,0),"")</f>
      </c>
      <c r="J447" s="30">
        <f>IFERROR(VLOOKUP(H447,CARTON_LOOKUP!$A:$E,4,0),"")</f>
      </c>
      <c r="K447" s="30">
        <f>IFERROR(VLOOKUP(H447,CARTON_LOOKUP!$A:$E,5,0),"")</f>
      </c>
      <c r="L447" s="31">
        <f>IFERROR(VLOOKUP(H447,CARTON_LOOKUP!$A:$E,2,0),"")</f>
      </c>
      <c r="M447" t="s">
        <v>101</v>
      </c>
      <c r="N447" t="s">
        <v>102</v>
      </c>
      <c r="O447" t="s">
        <v>103</v>
      </c>
    </row>
    <row r="448" spans="1:16" x14ac:dyDescent="0.25">
      <c r="A448" s="14"/>
      <c r="B448" s="28"/>
      <c r="C448" s="28"/>
      <c r="D448" t="s">
        <v>100</v>
      </c>
      <c r="E448" t="s">
        <v>50</v>
      </c>
      <c r="F448">
        <v>1</v>
      </c>
      <c r="G448" s="29">
        <v>0.21</v>
      </c>
      <c r="H448" t="s">
        <v>30</v>
      </c>
      <c r="I448" s="30">
        <f>IFERROR(VLOOKUP(H448,CARTON_LOOKUP!$A:$E,3,0),"")</f>
      </c>
      <c r="J448" s="30">
        <f>IFERROR(VLOOKUP(H448,CARTON_LOOKUP!$A:$E,4,0),"")</f>
      </c>
      <c r="K448" s="30">
        <f>IFERROR(VLOOKUP(H448,CARTON_LOOKUP!$A:$E,5,0),"")</f>
      </c>
      <c r="L448" s="31">
        <f>IFERROR(VLOOKUP(H448,CARTON_LOOKUP!$A:$E,2,0),"")</f>
      </c>
      <c r="M448" t="s">
        <v>101</v>
      </c>
      <c r="N448" t="s">
        <v>102</v>
      </c>
      <c r="O448" t="s">
        <v>103</v>
      </c>
    </row>
    <row r="449" spans="1:16" x14ac:dyDescent="0.25">
      <c r="A449" s="14"/>
      <c r="B449" s="28"/>
      <c r="C449" s="28"/>
      <c r="D449" t="s">
        <v>100</v>
      </c>
      <c r="E449" t="s">
        <v>50</v>
      </c>
      <c r="F449">
        <v>1</v>
      </c>
      <c r="G449" s="29">
        <v>0.21</v>
      </c>
      <c r="H449" t="s">
        <v>30</v>
      </c>
      <c r="I449" s="30">
        <f>IFERROR(VLOOKUP(H449,CARTON_LOOKUP!$A:$E,3,0),"")</f>
      </c>
      <c r="J449" s="30">
        <f>IFERROR(VLOOKUP(H449,CARTON_LOOKUP!$A:$E,4,0),"")</f>
      </c>
      <c r="K449" s="30">
        <f>IFERROR(VLOOKUP(H449,CARTON_LOOKUP!$A:$E,5,0),"")</f>
      </c>
      <c r="L449" s="31">
        <f>IFERROR(VLOOKUP(H449,CARTON_LOOKUP!$A:$E,2,0),"")</f>
      </c>
      <c r="M449" t="s">
        <v>101</v>
      </c>
      <c r="N449" t="s">
        <v>102</v>
      </c>
      <c r="O449" t="s">
        <v>103</v>
      </c>
    </row>
    <row r="450" spans="1:16" x14ac:dyDescent="0.25">
      <c r="A450" s="14"/>
      <c r="B450" s="28"/>
      <c r="C450" s="28"/>
      <c r="D450" t="s">
        <v>100</v>
      </c>
      <c r="E450" t="s">
        <v>50</v>
      </c>
      <c r="F450">
        <v>1</v>
      </c>
      <c r="G450" s="29">
        <v>0.21</v>
      </c>
      <c r="H450" t="s">
        <v>30</v>
      </c>
      <c r="I450" s="30">
        <f>IFERROR(VLOOKUP(H450,CARTON_LOOKUP!$A:$E,3,0),"")</f>
      </c>
      <c r="J450" s="30">
        <f>IFERROR(VLOOKUP(H450,CARTON_LOOKUP!$A:$E,4,0),"")</f>
      </c>
      <c r="K450" s="30">
        <f>IFERROR(VLOOKUP(H450,CARTON_LOOKUP!$A:$E,5,0),"")</f>
      </c>
      <c r="L450" s="31">
        <f>IFERROR(VLOOKUP(H450,CARTON_LOOKUP!$A:$E,2,0),"")</f>
      </c>
      <c r="M450" t="s">
        <v>101</v>
      </c>
      <c r="N450" t="s">
        <v>102</v>
      </c>
      <c r="O450" t="s">
        <v>103</v>
      </c>
    </row>
    <row r="451" spans="1:16" x14ac:dyDescent="0.25">
      <c r="A451" s="14"/>
      <c r="B451" s="28"/>
      <c r="C451" s="28"/>
      <c r="D451" t="s">
        <v>100</v>
      </c>
      <c r="E451" t="s">
        <v>50</v>
      </c>
      <c r="F451">
        <v>1</v>
      </c>
      <c r="G451" s="29">
        <v>0.21</v>
      </c>
      <c r="H451" t="s">
        <v>30</v>
      </c>
      <c r="I451" s="30">
        <f>IFERROR(VLOOKUP(H451,CARTON_LOOKUP!$A:$E,3,0),"")</f>
      </c>
      <c r="J451" s="30">
        <f>IFERROR(VLOOKUP(H451,CARTON_LOOKUP!$A:$E,4,0),"")</f>
      </c>
      <c r="K451" s="30">
        <f>IFERROR(VLOOKUP(H451,CARTON_LOOKUP!$A:$E,5,0),"")</f>
      </c>
      <c r="L451" s="31">
        <f>IFERROR(VLOOKUP(H451,CARTON_LOOKUP!$A:$E,2,0),"")</f>
      </c>
      <c r="M451" t="s">
        <v>101</v>
      </c>
      <c r="N451" t="s">
        <v>102</v>
      </c>
      <c r="O451" t="s">
        <v>103</v>
      </c>
    </row>
    <row r="452" spans="1:16" x14ac:dyDescent="0.25">
      <c r="A452" s="14"/>
      <c r="B452" s="28"/>
      <c r="C452" s="28"/>
      <c r="D452" t="s">
        <v>100</v>
      </c>
      <c r="E452" t="s">
        <v>50</v>
      </c>
      <c r="F452">
        <v>1</v>
      </c>
      <c r="G452" s="29">
        <v>0.21</v>
      </c>
      <c r="H452" t="s">
        <v>30</v>
      </c>
      <c r="I452" s="30">
        <f>IFERROR(VLOOKUP(H452,CARTON_LOOKUP!$A:$E,3,0),"")</f>
      </c>
      <c r="J452" s="30">
        <f>IFERROR(VLOOKUP(H452,CARTON_LOOKUP!$A:$E,4,0),"")</f>
      </c>
      <c r="K452" s="30">
        <f>IFERROR(VLOOKUP(H452,CARTON_LOOKUP!$A:$E,5,0),"")</f>
      </c>
      <c r="L452" s="31">
        <f>IFERROR(VLOOKUP(H452,CARTON_LOOKUP!$A:$E,2,0),"")</f>
      </c>
      <c r="M452" t="s">
        <v>101</v>
      </c>
      <c r="N452" t="s">
        <v>102</v>
      </c>
      <c r="O452" t="s">
        <v>103</v>
      </c>
    </row>
    <row r="453" spans="1:16" x14ac:dyDescent="0.25">
      <c r="A453" s="14"/>
      <c r="B453" s="28"/>
      <c r="C453" s="28"/>
      <c r="D453" t="s">
        <v>100</v>
      </c>
      <c r="E453" t="s">
        <v>50</v>
      </c>
      <c r="F453">
        <v>1</v>
      </c>
      <c r="G453" s="29">
        <v>0.21</v>
      </c>
      <c r="H453" t="s">
        <v>30</v>
      </c>
      <c r="I453" s="30">
        <f>IFERROR(VLOOKUP(H453,CARTON_LOOKUP!$A:$E,3,0),"")</f>
      </c>
      <c r="J453" s="30">
        <f>IFERROR(VLOOKUP(H453,CARTON_LOOKUP!$A:$E,4,0),"")</f>
      </c>
      <c r="K453" s="30">
        <f>IFERROR(VLOOKUP(H453,CARTON_LOOKUP!$A:$E,5,0),"")</f>
      </c>
      <c r="L453" s="31">
        <f>IFERROR(VLOOKUP(H453,CARTON_LOOKUP!$A:$E,2,0),"")</f>
      </c>
      <c r="M453" t="s">
        <v>101</v>
      </c>
      <c r="N453" t="s">
        <v>102</v>
      </c>
      <c r="O453" t="s">
        <v>103</v>
      </c>
    </row>
    <row r="454" spans="1:16" x14ac:dyDescent="0.25">
      <c r="A454" s="14"/>
      <c r="B454" s="28"/>
      <c r="C454" s="28"/>
      <c r="D454" t="s">
        <v>100</v>
      </c>
      <c r="E454" t="s">
        <v>50</v>
      </c>
      <c r="F454">
        <v>1</v>
      </c>
      <c r="G454" s="29">
        <v>0.21</v>
      </c>
      <c r="H454" t="s">
        <v>30</v>
      </c>
      <c r="I454" s="30">
        <f>IFERROR(VLOOKUP(H454,CARTON_LOOKUP!$A:$E,3,0),"")</f>
      </c>
      <c r="J454" s="30">
        <f>IFERROR(VLOOKUP(H454,CARTON_LOOKUP!$A:$E,4,0),"")</f>
      </c>
      <c r="K454" s="30">
        <f>IFERROR(VLOOKUP(H454,CARTON_LOOKUP!$A:$E,5,0),"")</f>
      </c>
      <c r="L454" s="31">
        <f>IFERROR(VLOOKUP(H454,CARTON_LOOKUP!$A:$E,2,0),"")</f>
      </c>
      <c r="M454" t="s">
        <v>101</v>
      </c>
      <c r="N454" t="s">
        <v>102</v>
      </c>
      <c r="O454" t="s">
        <v>103</v>
      </c>
    </row>
    <row r="455" spans="1:16" x14ac:dyDescent="0.25">
      <c r="A455" s="14"/>
      <c r="B455" s="28"/>
      <c r="C455" s="28"/>
      <c r="D455" t="s">
        <v>100</v>
      </c>
      <c r="E455" t="s">
        <v>50</v>
      </c>
      <c r="F455">
        <v>1</v>
      </c>
      <c r="G455" s="29">
        <v>0.21</v>
      </c>
      <c r="H455" t="s">
        <v>30</v>
      </c>
      <c r="I455" s="30">
        <f>IFERROR(VLOOKUP(H455,CARTON_LOOKUP!$A:$E,3,0),"")</f>
      </c>
      <c r="J455" s="30">
        <f>IFERROR(VLOOKUP(H455,CARTON_LOOKUP!$A:$E,4,0),"")</f>
      </c>
      <c r="K455" s="30">
        <f>IFERROR(VLOOKUP(H455,CARTON_LOOKUP!$A:$E,5,0),"")</f>
      </c>
      <c r="L455" s="31">
        <f>IFERROR(VLOOKUP(H455,CARTON_LOOKUP!$A:$E,2,0),"")</f>
      </c>
      <c r="M455" t="s">
        <v>101</v>
      </c>
      <c r="N455" t="s">
        <v>102</v>
      </c>
      <c r="O455" t="s">
        <v>103</v>
      </c>
    </row>
    <row r="456" spans="1:16" x14ac:dyDescent="0.25">
      <c r="A456" s="14"/>
      <c r="B456" s="28"/>
      <c r="C456" s="28"/>
      <c r="D456" t="s">
        <v>100</v>
      </c>
      <c r="E456" t="s">
        <v>50</v>
      </c>
      <c r="F456">
        <v>1</v>
      </c>
      <c r="G456" s="29">
        <v>0.21</v>
      </c>
      <c r="H456" t="s">
        <v>30</v>
      </c>
      <c r="I456" s="30">
        <f>IFERROR(VLOOKUP(H456,CARTON_LOOKUP!$A:$E,3,0),"")</f>
      </c>
      <c r="J456" s="30">
        <f>IFERROR(VLOOKUP(H456,CARTON_LOOKUP!$A:$E,4,0),"")</f>
      </c>
      <c r="K456" s="30">
        <f>IFERROR(VLOOKUP(H456,CARTON_LOOKUP!$A:$E,5,0),"")</f>
      </c>
      <c r="L456" s="31">
        <f>IFERROR(VLOOKUP(H456,CARTON_LOOKUP!$A:$E,2,0),"")</f>
      </c>
      <c r="M456" t="s">
        <v>101</v>
      </c>
      <c r="N456" t="s">
        <v>102</v>
      </c>
      <c r="O456" t="s">
        <v>103</v>
      </c>
    </row>
    <row r="457" spans="1:16" x14ac:dyDescent="0.25">
      <c r="A457" s="14"/>
      <c r="B457" s="28"/>
      <c r="C457" s="28"/>
      <c r="D457" t="s">
        <v>100</v>
      </c>
      <c r="E457" t="s">
        <v>50</v>
      </c>
      <c r="F457">
        <v>1</v>
      </c>
      <c r="G457" s="29">
        <v>0.21</v>
      </c>
      <c r="H457" t="s">
        <v>30</v>
      </c>
      <c r="I457" s="30">
        <f>IFERROR(VLOOKUP(H457,CARTON_LOOKUP!$A:$E,3,0),"")</f>
      </c>
      <c r="J457" s="30">
        <f>IFERROR(VLOOKUP(H457,CARTON_LOOKUP!$A:$E,4,0),"")</f>
      </c>
      <c r="K457" s="30">
        <f>IFERROR(VLOOKUP(H457,CARTON_LOOKUP!$A:$E,5,0),"")</f>
      </c>
      <c r="L457" s="31">
        <f>IFERROR(VLOOKUP(H457,CARTON_LOOKUP!$A:$E,2,0),"")</f>
      </c>
      <c r="M457" t="s">
        <v>101</v>
      </c>
      <c r="N457" t="s">
        <v>102</v>
      </c>
      <c r="O457" t="s">
        <v>103</v>
      </c>
    </row>
    <row r="458" spans="1:16" x14ac:dyDescent="0.25">
      <c r="A458" s="14"/>
      <c r="B458" s="28"/>
      <c r="C458" s="28"/>
      <c r="D458" t="s">
        <v>100</v>
      </c>
      <c r="E458" t="s">
        <v>50</v>
      </c>
      <c r="F458">
        <v>1</v>
      </c>
      <c r="G458" s="29">
        <v>0.21</v>
      </c>
      <c r="H458" t="s">
        <v>30</v>
      </c>
      <c r="I458" s="30">
        <f>IFERROR(VLOOKUP(H458,CARTON_LOOKUP!$A:$E,3,0),"")</f>
      </c>
      <c r="J458" s="30">
        <f>IFERROR(VLOOKUP(H458,CARTON_LOOKUP!$A:$E,4,0),"")</f>
      </c>
      <c r="K458" s="30">
        <f>IFERROR(VLOOKUP(H458,CARTON_LOOKUP!$A:$E,5,0),"")</f>
      </c>
      <c r="L458" s="31">
        <f>IFERROR(VLOOKUP(H458,CARTON_LOOKUP!$A:$E,2,0),"")</f>
      </c>
      <c r="M458" t="s">
        <v>101</v>
      </c>
      <c r="N458" t="s">
        <v>102</v>
      </c>
      <c r="O458" t="s">
        <v>103</v>
      </c>
    </row>
    <row r="459" spans="1:16" x14ac:dyDescent="0.25">
      <c r="A459" s="14"/>
      <c r="B459" s="28"/>
      <c r="C459" s="28"/>
      <c r="D459" t="s">
        <v>100</v>
      </c>
      <c r="E459" t="s">
        <v>50</v>
      </c>
      <c r="F459">
        <v>1</v>
      </c>
      <c r="G459" s="29">
        <v>0.21</v>
      </c>
      <c r="H459" t="s">
        <v>30</v>
      </c>
      <c r="I459" s="30">
        <f>IFERROR(VLOOKUP(H459,CARTON_LOOKUP!$A:$E,3,0),"")</f>
      </c>
      <c r="J459" s="30">
        <f>IFERROR(VLOOKUP(H459,CARTON_LOOKUP!$A:$E,4,0),"")</f>
      </c>
      <c r="K459" s="30">
        <f>IFERROR(VLOOKUP(H459,CARTON_LOOKUP!$A:$E,5,0),"")</f>
      </c>
      <c r="L459" s="31">
        <f>IFERROR(VLOOKUP(H459,CARTON_LOOKUP!$A:$E,2,0),"")</f>
      </c>
      <c r="M459" t="s">
        <v>101</v>
      </c>
      <c r="N459" t="s">
        <v>102</v>
      </c>
      <c r="O459" t="s">
        <v>103</v>
      </c>
    </row>
    <row r="460" spans="1:16" x14ac:dyDescent="0.25">
      <c r="A460" s="14"/>
      <c r="B460" s="28"/>
      <c r="C460" s="28"/>
      <c r="D460" t="s">
        <v>100</v>
      </c>
      <c r="E460" t="s">
        <v>50</v>
      </c>
      <c r="F460">
        <v>1</v>
      </c>
      <c r="G460" s="29">
        <v>0.21</v>
      </c>
      <c r="H460" t="s">
        <v>30</v>
      </c>
      <c r="I460" s="30">
        <f>IFERROR(VLOOKUP(H460,CARTON_LOOKUP!$A:$E,3,0),"")</f>
      </c>
      <c r="J460" s="30">
        <f>IFERROR(VLOOKUP(H460,CARTON_LOOKUP!$A:$E,4,0),"")</f>
      </c>
      <c r="K460" s="30">
        <f>IFERROR(VLOOKUP(H460,CARTON_LOOKUP!$A:$E,5,0),"")</f>
      </c>
      <c r="L460" s="31">
        <f>IFERROR(VLOOKUP(H460,CARTON_LOOKUP!$A:$E,2,0),"")</f>
      </c>
      <c r="M460" t="s">
        <v>101</v>
      </c>
      <c r="N460" t="s">
        <v>102</v>
      </c>
      <c r="O460" t="s">
        <v>103</v>
      </c>
    </row>
    <row r="461" spans="1:16" x14ac:dyDescent="0.25">
      <c r="A461" s="14"/>
      <c r="B461" s="28"/>
      <c r="C461" s="28"/>
      <c r="D461" t="s">
        <v>100</v>
      </c>
      <c r="E461" t="s">
        <v>50</v>
      </c>
      <c r="F461">
        <v>1</v>
      </c>
      <c r="G461" s="29">
        <v>0.21</v>
      </c>
      <c r="H461" t="s">
        <v>30</v>
      </c>
      <c r="I461" s="30">
        <f>IFERROR(VLOOKUP(H461,CARTON_LOOKUP!$A:$E,3,0),"")</f>
      </c>
      <c r="J461" s="30">
        <f>IFERROR(VLOOKUP(H461,CARTON_LOOKUP!$A:$E,4,0),"")</f>
      </c>
      <c r="K461" s="30">
        <f>IFERROR(VLOOKUP(H461,CARTON_LOOKUP!$A:$E,5,0),"")</f>
      </c>
      <c r="L461" s="31">
        <f>IFERROR(VLOOKUP(H461,CARTON_LOOKUP!$A:$E,2,0),"")</f>
      </c>
      <c r="M461" t="s">
        <v>101</v>
      </c>
      <c r="N461" t="s">
        <v>102</v>
      </c>
      <c r="O461" t="s">
        <v>103</v>
      </c>
    </row>
    <row r="462" spans="1:16" x14ac:dyDescent="0.25">
      <c r="A462" s="14"/>
      <c r="B462" s="28"/>
      <c r="C462" s="28"/>
      <c r="D462" t="s">
        <v>100</v>
      </c>
      <c r="E462" t="s">
        <v>50</v>
      </c>
      <c r="F462">
        <v>1</v>
      </c>
      <c r="G462" s="29">
        <v>0.21</v>
      </c>
      <c r="H462" t="s">
        <v>30</v>
      </c>
      <c r="I462" s="30">
        <f>IFERROR(VLOOKUP(H462,CARTON_LOOKUP!$A:$E,3,0),"")</f>
      </c>
      <c r="J462" s="30">
        <f>IFERROR(VLOOKUP(H462,CARTON_LOOKUP!$A:$E,4,0),"")</f>
      </c>
      <c r="K462" s="30">
        <f>IFERROR(VLOOKUP(H462,CARTON_LOOKUP!$A:$E,5,0),"")</f>
      </c>
      <c r="L462" s="31">
        <f>IFERROR(VLOOKUP(H462,CARTON_LOOKUP!$A:$E,2,0),"")</f>
      </c>
      <c r="M462" t="s">
        <v>101</v>
      </c>
      <c r="N462" t="s">
        <v>102</v>
      </c>
      <c r="O462" t="s">
        <v>103</v>
      </c>
    </row>
    <row r="463" spans="1:16" x14ac:dyDescent="0.25">
      <c r="A463" s="14"/>
      <c r="B463" s="28"/>
      <c r="C463" s="28"/>
      <c r="D463" t="s">
        <v>100</v>
      </c>
      <c r="E463" t="s">
        <v>50</v>
      </c>
      <c r="F463">
        <v>1</v>
      </c>
      <c r="G463" s="29">
        <v>0.21</v>
      </c>
      <c r="H463" t="s">
        <v>30</v>
      </c>
      <c r="I463" s="30">
        <f>IFERROR(VLOOKUP(H463,CARTON_LOOKUP!$A:$E,3,0),"")</f>
      </c>
      <c r="J463" s="30">
        <f>IFERROR(VLOOKUP(H463,CARTON_LOOKUP!$A:$E,4,0),"")</f>
      </c>
      <c r="K463" s="30">
        <f>IFERROR(VLOOKUP(H463,CARTON_LOOKUP!$A:$E,5,0),"")</f>
      </c>
      <c r="L463" s="31">
        <f>IFERROR(VLOOKUP(H463,CARTON_LOOKUP!$A:$E,2,0),"")</f>
      </c>
      <c r="M463" t="s">
        <v>101</v>
      </c>
      <c r="N463" t="s">
        <v>102</v>
      </c>
      <c r="O463" t="s">
        <v>103</v>
      </c>
    </row>
    <row r="464" spans="1:16" x14ac:dyDescent="0.25">
      <c r="A464" s="14"/>
      <c r="B464" s="28"/>
      <c r="C464" s="28"/>
      <c r="D464" t="s">
        <v>100</v>
      </c>
      <c r="E464" t="s">
        <v>50</v>
      </c>
      <c r="F464">
        <v>1</v>
      </c>
      <c r="G464" s="29">
        <v>0.21</v>
      </c>
      <c r="H464" t="s">
        <v>30</v>
      </c>
      <c r="I464" s="30">
        <f>IFERROR(VLOOKUP(H464,CARTON_LOOKUP!$A:$E,3,0),"")</f>
      </c>
      <c r="J464" s="30">
        <f>IFERROR(VLOOKUP(H464,CARTON_LOOKUP!$A:$E,4,0),"")</f>
      </c>
      <c r="K464" s="30">
        <f>IFERROR(VLOOKUP(H464,CARTON_LOOKUP!$A:$E,5,0),"")</f>
      </c>
      <c r="L464" s="31">
        <f>IFERROR(VLOOKUP(H464,CARTON_LOOKUP!$A:$E,2,0),"")</f>
      </c>
      <c r="M464" t="s">
        <v>101</v>
      </c>
      <c r="N464" t="s">
        <v>102</v>
      </c>
      <c r="O464" t="s">
        <v>103</v>
      </c>
    </row>
    <row r="465" spans="1:16" x14ac:dyDescent="0.25">
      <c r="A465" s="14"/>
      <c r="B465" s="28"/>
      <c r="C465" s="28"/>
      <c r="D465" t="s">
        <v>100</v>
      </c>
      <c r="E465" t="s">
        <v>50</v>
      </c>
      <c r="F465">
        <v>1</v>
      </c>
      <c r="G465" s="29">
        <v>0.21</v>
      </c>
      <c r="H465" t="s">
        <v>30</v>
      </c>
      <c r="I465" s="30">
        <f>IFERROR(VLOOKUP(H465,CARTON_LOOKUP!$A:$E,3,0),"")</f>
      </c>
      <c r="J465" s="30">
        <f>IFERROR(VLOOKUP(H465,CARTON_LOOKUP!$A:$E,4,0),"")</f>
      </c>
      <c r="K465" s="30">
        <f>IFERROR(VLOOKUP(H465,CARTON_LOOKUP!$A:$E,5,0),"")</f>
      </c>
      <c r="L465" s="31">
        <f>IFERROR(VLOOKUP(H465,CARTON_LOOKUP!$A:$E,2,0),"")</f>
      </c>
      <c r="M465" t="s">
        <v>101</v>
      </c>
      <c r="N465" t="s">
        <v>102</v>
      </c>
      <c r="O465" t="s">
        <v>103</v>
      </c>
    </row>
    <row r="466" spans="1:16" x14ac:dyDescent="0.25">
      <c r="A466" s="14"/>
      <c r="B466" s="28"/>
      <c r="C466" s="28"/>
      <c r="D466" t="s">
        <v>100</v>
      </c>
      <c r="E466" t="s">
        <v>50</v>
      </c>
      <c r="F466">
        <v>1</v>
      </c>
      <c r="G466" s="29">
        <v>0.21</v>
      </c>
      <c r="H466" t="s">
        <v>30</v>
      </c>
      <c r="I466" s="30">
        <f>IFERROR(VLOOKUP(H466,CARTON_LOOKUP!$A:$E,3,0),"")</f>
      </c>
      <c r="J466" s="30">
        <f>IFERROR(VLOOKUP(H466,CARTON_LOOKUP!$A:$E,4,0),"")</f>
      </c>
      <c r="K466" s="30">
        <f>IFERROR(VLOOKUP(H466,CARTON_LOOKUP!$A:$E,5,0),"")</f>
      </c>
      <c r="L466" s="31">
        <f>IFERROR(VLOOKUP(H466,CARTON_LOOKUP!$A:$E,2,0),"")</f>
      </c>
      <c r="M466" t="s">
        <v>101</v>
      </c>
      <c r="N466" t="s">
        <v>102</v>
      </c>
      <c r="O466" t="s">
        <v>103</v>
      </c>
    </row>
    <row r="467" spans="1:16" x14ac:dyDescent="0.25">
      <c r="A467" s="14"/>
      <c r="B467" s="28"/>
      <c r="C467" s="28"/>
      <c r="D467" t="s">
        <v>100</v>
      </c>
      <c r="E467" t="s">
        <v>50</v>
      </c>
      <c r="F467">
        <v>1</v>
      </c>
      <c r="G467" s="29">
        <v>0.21</v>
      </c>
      <c r="H467" t="s">
        <v>30</v>
      </c>
      <c r="I467" s="30">
        <f>IFERROR(VLOOKUP(H467,CARTON_LOOKUP!$A:$E,3,0),"")</f>
      </c>
      <c r="J467" s="30">
        <f>IFERROR(VLOOKUP(H467,CARTON_LOOKUP!$A:$E,4,0),"")</f>
      </c>
      <c r="K467" s="30">
        <f>IFERROR(VLOOKUP(H467,CARTON_LOOKUP!$A:$E,5,0),"")</f>
      </c>
      <c r="L467" s="31">
        <f>IFERROR(VLOOKUP(H467,CARTON_LOOKUP!$A:$E,2,0),"")</f>
      </c>
      <c r="M467" t="s">
        <v>101</v>
      </c>
      <c r="N467" t="s">
        <v>102</v>
      </c>
      <c r="O467" t="s">
        <v>103</v>
      </c>
    </row>
    <row r="468" spans="1:16" x14ac:dyDescent="0.25">
      <c r="A468" s="14"/>
      <c r="B468" s="28"/>
      <c r="C468" s="28"/>
      <c r="D468" t="s">
        <v>100</v>
      </c>
      <c r="E468" t="s">
        <v>50</v>
      </c>
      <c r="F468">
        <v>1</v>
      </c>
      <c r="G468" s="29">
        <v>0.21</v>
      </c>
      <c r="H468" t="s">
        <v>30</v>
      </c>
      <c r="I468" s="30">
        <f>IFERROR(VLOOKUP(H468,CARTON_LOOKUP!$A:$E,3,0),"")</f>
      </c>
      <c r="J468" s="30">
        <f>IFERROR(VLOOKUP(H468,CARTON_LOOKUP!$A:$E,4,0),"")</f>
      </c>
      <c r="K468" s="30">
        <f>IFERROR(VLOOKUP(H468,CARTON_LOOKUP!$A:$E,5,0),"")</f>
      </c>
      <c r="L468" s="31">
        <f>IFERROR(VLOOKUP(H468,CARTON_LOOKUP!$A:$E,2,0),"")</f>
      </c>
      <c r="M468" t="s">
        <v>101</v>
      </c>
      <c r="N468" t="s">
        <v>102</v>
      </c>
      <c r="O468" t="s">
        <v>103</v>
      </c>
    </row>
    <row r="469" spans="1:16" x14ac:dyDescent="0.25">
      <c r="A469" s="14"/>
      <c r="B469" s="28"/>
      <c r="C469" s="28"/>
      <c r="D469" t="s">
        <v>100</v>
      </c>
      <c r="E469" t="s">
        <v>50</v>
      </c>
      <c r="F469">
        <v>1</v>
      </c>
      <c r="G469" s="29">
        <v>0.21</v>
      </c>
      <c r="H469" t="s">
        <v>30</v>
      </c>
      <c r="I469" s="30">
        <f>IFERROR(VLOOKUP(H469,CARTON_LOOKUP!$A:$E,3,0),"")</f>
      </c>
      <c r="J469" s="30">
        <f>IFERROR(VLOOKUP(H469,CARTON_LOOKUP!$A:$E,4,0),"")</f>
      </c>
      <c r="K469" s="30">
        <f>IFERROR(VLOOKUP(H469,CARTON_LOOKUP!$A:$E,5,0),"")</f>
      </c>
      <c r="L469" s="31">
        <f>IFERROR(VLOOKUP(H469,CARTON_LOOKUP!$A:$E,2,0),"")</f>
      </c>
      <c r="M469" t="s">
        <v>101</v>
      </c>
      <c r="N469" t="s">
        <v>102</v>
      </c>
      <c r="O469" t="s">
        <v>103</v>
      </c>
    </row>
    <row r="470" spans="1:16" x14ac:dyDescent="0.25">
      <c r="A470" s="14"/>
      <c r="B470" s="28"/>
      <c r="C470" s="28"/>
      <c r="D470" t="s">
        <v>100</v>
      </c>
      <c r="E470" t="s">
        <v>50</v>
      </c>
      <c r="F470">
        <v>1</v>
      </c>
      <c r="G470" s="29">
        <v>0.21</v>
      </c>
      <c r="H470" t="s">
        <v>30</v>
      </c>
      <c r="I470" s="30">
        <f>IFERROR(VLOOKUP(H470,CARTON_LOOKUP!$A:$E,3,0),"")</f>
      </c>
      <c r="J470" s="30">
        <f>IFERROR(VLOOKUP(H470,CARTON_LOOKUP!$A:$E,4,0),"")</f>
      </c>
      <c r="K470" s="30">
        <f>IFERROR(VLOOKUP(H470,CARTON_LOOKUP!$A:$E,5,0),"")</f>
      </c>
      <c r="L470" s="31">
        <f>IFERROR(VLOOKUP(H470,CARTON_LOOKUP!$A:$E,2,0),"")</f>
      </c>
      <c r="M470" t="s">
        <v>101</v>
      </c>
      <c r="N470" t="s">
        <v>102</v>
      </c>
      <c r="O470" t="s">
        <v>103</v>
      </c>
    </row>
    <row r="471" spans="1:16" x14ac:dyDescent="0.25">
      <c r="A471" s="14"/>
      <c r="B471" s="28"/>
      <c r="C471" s="28"/>
      <c r="D471" t="s">
        <v>100</v>
      </c>
      <c r="E471" t="s">
        <v>50</v>
      </c>
      <c r="F471">
        <v>1</v>
      </c>
      <c r="G471" s="29">
        <v>0.21</v>
      </c>
      <c r="H471" t="s">
        <v>30</v>
      </c>
      <c r="I471" s="30">
        <f>IFERROR(VLOOKUP(H471,CARTON_LOOKUP!$A:$E,3,0),"")</f>
      </c>
      <c r="J471" s="30">
        <f>IFERROR(VLOOKUP(H471,CARTON_LOOKUP!$A:$E,4,0),"")</f>
      </c>
      <c r="K471" s="30">
        <f>IFERROR(VLOOKUP(H471,CARTON_LOOKUP!$A:$E,5,0),"")</f>
      </c>
      <c r="L471" s="31">
        <f>IFERROR(VLOOKUP(H471,CARTON_LOOKUP!$A:$E,2,0),"")</f>
      </c>
      <c r="M471" t="s">
        <v>101</v>
      </c>
      <c r="N471" t="s">
        <v>102</v>
      </c>
      <c r="O471" t="s">
        <v>103</v>
      </c>
    </row>
    <row r="472" spans="1:16" x14ac:dyDescent="0.25">
      <c r="A472" s="14"/>
      <c r="B472" s="28"/>
      <c r="C472" s="28"/>
      <c r="D472" t="s">
        <v>100</v>
      </c>
      <c r="E472" t="s">
        <v>50</v>
      </c>
      <c r="F472">
        <v>1</v>
      </c>
      <c r="G472" s="29">
        <v>0.21</v>
      </c>
      <c r="H472" t="s">
        <v>30</v>
      </c>
      <c r="I472" s="30">
        <f>IFERROR(VLOOKUP(H472,CARTON_LOOKUP!$A:$E,3,0),"")</f>
      </c>
      <c r="J472" s="30">
        <f>IFERROR(VLOOKUP(H472,CARTON_LOOKUP!$A:$E,4,0),"")</f>
      </c>
      <c r="K472" s="30">
        <f>IFERROR(VLOOKUP(H472,CARTON_LOOKUP!$A:$E,5,0),"")</f>
      </c>
      <c r="L472" s="31">
        <f>IFERROR(VLOOKUP(H472,CARTON_LOOKUP!$A:$E,2,0),"")</f>
      </c>
      <c r="M472" t="s">
        <v>101</v>
      </c>
      <c r="N472" t="s">
        <v>102</v>
      </c>
      <c r="O472" t="s">
        <v>103</v>
      </c>
    </row>
    <row r="473" spans="1:16" x14ac:dyDescent="0.25">
      <c r="A473" s="14"/>
      <c r="B473" s="28"/>
      <c r="C473" s="28"/>
      <c r="D473" t="s">
        <v>100</v>
      </c>
      <c r="E473" t="s">
        <v>50</v>
      </c>
      <c r="F473">
        <v>1</v>
      </c>
      <c r="G473" s="29">
        <v>0.21</v>
      </c>
      <c r="H473" t="s">
        <v>30</v>
      </c>
      <c r="I473" s="30">
        <f>IFERROR(VLOOKUP(H473,CARTON_LOOKUP!$A:$E,3,0),"")</f>
      </c>
      <c r="J473" s="30">
        <f>IFERROR(VLOOKUP(H473,CARTON_LOOKUP!$A:$E,4,0),"")</f>
      </c>
      <c r="K473" s="30">
        <f>IFERROR(VLOOKUP(H473,CARTON_LOOKUP!$A:$E,5,0),"")</f>
      </c>
      <c r="L473" s="31">
        <f>IFERROR(VLOOKUP(H473,CARTON_LOOKUP!$A:$E,2,0),"")</f>
      </c>
      <c r="M473" t="s">
        <v>101</v>
      </c>
      <c r="N473" t="s">
        <v>102</v>
      </c>
      <c r="O473" t="s">
        <v>103</v>
      </c>
    </row>
    <row r="474" spans="1:16" x14ac:dyDescent="0.25">
      <c r="A474" s="14"/>
      <c r="B474" s="28"/>
      <c r="C474" s="28"/>
      <c r="D474" t="s">
        <v>100</v>
      </c>
      <c r="E474" t="s">
        <v>50</v>
      </c>
      <c r="F474">
        <v>1</v>
      </c>
      <c r="G474" s="29">
        <v>0.21</v>
      </c>
      <c r="H474" t="s">
        <v>30</v>
      </c>
      <c r="I474" s="30">
        <f>IFERROR(VLOOKUP(H474,CARTON_LOOKUP!$A:$E,3,0),"")</f>
      </c>
      <c r="J474" s="30">
        <f>IFERROR(VLOOKUP(H474,CARTON_LOOKUP!$A:$E,4,0),"")</f>
      </c>
      <c r="K474" s="30">
        <f>IFERROR(VLOOKUP(H474,CARTON_LOOKUP!$A:$E,5,0),"")</f>
      </c>
      <c r="L474" s="31">
        <f>IFERROR(VLOOKUP(H474,CARTON_LOOKUP!$A:$E,2,0),"")</f>
      </c>
      <c r="M474" t="s">
        <v>101</v>
      </c>
      <c r="N474" t="s">
        <v>102</v>
      </c>
      <c r="O474" t="s">
        <v>103</v>
      </c>
    </row>
    <row r="475" spans="1:16" x14ac:dyDescent="0.25">
      <c r="A475" s="14"/>
      <c r="B475" s="28"/>
      <c r="C475" s="28"/>
      <c r="D475" t="s">
        <v>100</v>
      </c>
      <c r="E475" t="s">
        <v>50</v>
      </c>
      <c r="F475">
        <v>1</v>
      </c>
      <c r="G475" s="29">
        <v>0.21</v>
      </c>
      <c r="H475" t="s">
        <v>30</v>
      </c>
      <c r="I475" s="30">
        <f>IFERROR(VLOOKUP(H475,CARTON_LOOKUP!$A:$E,3,0),"")</f>
      </c>
      <c r="J475" s="30">
        <f>IFERROR(VLOOKUP(H475,CARTON_LOOKUP!$A:$E,4,0),"")</f>
      </c>
      <c r="K475" s="30">
        <f>IFERROR(VLOOKUP(H475,CARTON_LOOKUP!$A:$E,5,0),"")</f>
      </c>
      <c r="L475" s="31">
        <f>IFERROR(VLOOKUP(H475,CARTON_LOOKUP!$A:$E,2,0),"")</f>
      </c>
      <c r="M475" t="s">
        <v>101</v>
      </c>
      <c r="N475" t="s">
        <v>102</v>
      </c>
      <c r="O475" t="s">
        <v>103</v>
      </c>
    </row>
    <row r="476" spans="1:16" x14ac:dyDescent="0.25">
      <c r="A476" s="14"/>
      <c r="B476" s="28"/>
      <c r="C476" s="28"/>
      <c r="D476" t="s">
        <v>100</v>
      </c>
      <c r="E476" t="s">
        <v>50</v>
      </c>
      <c r="F476">
        <v>1</v>
      </c>
      <c r="G476" s="29">
        <v>0.21</v>
      </c>
      <c r="H476" t="s">
        <v>30</v>
      </c>
      <c r="I476" s="30">
        <f>IFERROR(VLOOKUP(H476,CARTON_LOOKUP!$A:$E,3,0),"")</f>
      </c>
      <c r="J476" s="30">
        <f>IFERROR(VLOOKUP(H476,CARTON_LOOKUP!$A:$E,4,0),"")</f>
      </c>
      <c r="K476" s="30">
        <f>IFERROR(VLOOKUP(H476,CARTON_LOOKUP!$A:$E,5,0),"")</f>
      </c>
      <c r="L476" s="31">
        <f>IFERROR(VLOOKUP(H476,CARTON_LOOKUP!$A:$E,2,0),"")</f>
      </c>
      <c r="M476" t="s">
        <v>101</v>
      </c>
      <c r="N476" t="s">
        <v>102</v>
      </c>
      <c r="O476" t="s">
        <v>103</v>
      </c>
    </row>
    <row r="477" spans="1:16" x14ac:dyDescent="0.25">
      <c r="A477" s="14"/>
      <c r="B477" s="28"/>
      <c r="C477" s="28"/>
      <c r="D477" t="s">
        <v>100</v>
      </c>
      <c r="E477" t="s">
        <v>50</v>
      </c>
      <c r="F477">
        <v>1</v>
      </c>
      <c r="G477" s="29">
        <v>0.21</v>
      </c>
      <c r="H477" t="s">
        <v>30</v>
      </c>
      <c r="I477" s="30">
        <f>IFERROR(VLOOKUP(H477,CARTON_LOOKUP!$A:$E,3,0),"")</f>
      </c>
      <c r="J477" s="30">
        <f>IFERROR(VLOOKUP(H477,CARTON_LOOKUP!$A:$E,4,0),"")</f>
      </c>
      <c r="K477" s="30">
        <f>IFERROR(VLOOKUP(H477,CARTON_LOOKUP!$A:$E,5,0),"")</f>
      </c>
      <c r="L477" s="31">
        <f>IFERROR(VLOOKUP(H477,CARTON_LOOKUP!$A:$E,2,0),"")</f>
      </c>
      <c r="M477" t="s">
        <v>101</v>
      </c>
      <c r="N477" t="s">
        <v>102</v>
      </c>
      <c r="O477" t="s">
        <v>103</v>
      </c>
    </row>
    <row r="478" spans="1:16" x14ac:dyDescent="0.25">
      <c r="A478" s="14"/>
      <c r="B478" s="28"/>
      <c r="C478" s="28"/>
      <c r="D478" t="s">
        <v>100</v>
      </c>
      <c r="E478" t="s">
        <v>50</v>
      </c>
      <c r="F478">
        <v>1</v>
      </c>
      <c r="G478" s="29">
        <v>0.21</v>
      </c>
      <c r="H478" t="s">
        <v>30</v>
      </c>
      <c r="I478" s="30">
        <f>IFERROR(VLOOKUP(H478,CARTON_LOOKUP!$A:$E,3,0),"")</f>
      </c>
      <c r="J478" s="30">
        <f>IFERROR(VLOOKUP(H478,CARTON_LOOKUP!$A:$E,4,0),"")</f>
      </c>
      <c r="K478" s="30">
        <f>IFERROR(VLOOKUP(H478,CARTON_LOOKUP!$A:$E,5,0),"")</f>
      </c>
      <c r="L478" s="31">
        <f>IFERROR(VLOOKUP(H478,CARTON_LOOKUP!$A:$E,2,0),"")</f>
      </c>
      <c r="M478" t="s">
        <v>101</v>
      </c>
      <c r="N478" t="s">
        <v>102</v>
      </c>
      <c r="O478" t="s">
        <v>103</v>
      </c>
    </row>
    <row r="479" spans="1:16" x14ac:dyDescent="0.25">
      <c r="A479" s="14"/>
      <c r="B479" s="28"/>
      <c r="C479" s="28"/>
      <c r="D479" t="s">
        <v>100</v>
      </c>
      <c r="E479" t="s">
        <v>50</v>
      </c>
      <c r="F479">
        <v>1</v>
      </c>
      <c r="G479" s="29">
        <v>0.21</v>
      </c>
      <c r="H479" t="s">
        <v>30</v>
      </c>
      <c r="I479" s="30">
        <f>IFERROR(VLOOKUP(H479,CARTON_LOOKUP!$A:$E,3,0),"")</f>
      </c>
      <c r="J479" s="30">
        <f>IFERROR(VLOOKUP(H479,CARTON_LOOKUP!$A:$E,4,0),"")</f>
      </c>
      <c r="K479" s="30">
        <f>IFERROR(VLOOKUP(H479,CARTON_LOOKUP!$A:$E,5,0),"")</f>
      </c>
      <c r="L479" s="31">
        <f>IFERROR(VLOOKUP(H479,CARTON_LOOKUP!$A:$E,2,0),"")</f>
      </c>
      <c r="M479" t="s">
        <v>101</v>
      </c>
      <c r="N479" t="s">
        <v>102</v>
      </c>
      <c r="O479" t="s">
        <v>103</v>
      </c>
    </row>
    <row r="480" spans="1:16" x14ac:dyDescent="0.25">
      <c r="A480" s="14"/>
      <c r="B480" s="28"/>
      <c r="C480" s="28"/>
      <c r="D480" t="s">
        <v>100</v>
      </c>
      <c r="E480" t="s">
        <v>50</v>
      </c>
      <c r="F480">
        <v>1</v>
      </c>
      <c r="G480" s="29">
        <v>0.21</v>
      </c>
      <c r="H480" t="s">
        <v>30</v>
      </c>
      <c r="I480" s="30">
        <f>IFERROR(VLOOKUP(H480,CARTON_LOOKUP!$A:$E,3,0),"")</f>
      </c>
      <c r="J480" s="30">
        <f>IFERROR(VLOOKUP(H480,CARTON_LOOKUP!$A:$E,4,0),"")</f>
      </c>
      <c r="K480" s="30">
        <f>IFERROR(VLOOKUP(H480,CARTON_LOOKUP!$A:$E,5,0),"")</f>
      </c>
      <c r="L480" s="31">
        <f>IFERROR(VLOOKUP(H480,CARTON_LOOKUP!$A:$E,2,0),"")</f>
      </c>
      <c r="M480" t="s">
        <v>101</v>
      </c>
      <c r="N480" t="s">
        <v>102</v>
      </c>
      <c r="O480" t="s">
        <v>103</v>
      </c>
    </row>
    <row r="481" spans="1:16" x14ac:dyDescent="0.25">
      <c r="A481" s="14"/>
      <c r="B481" s="28"/>
      <c r="C481" s="28"/>
      <c r="D481" t="s">
        <v>100</v>
      </c>
      <c r="E481" t="s">
        <v>50</v>
      </c>
      <c r="F481">
        <v>1</v>
      </c>
      <c r="G481" s="29">
        <v>0.21</v>
      </c>
      <c r="H481" t="s">
        <v>30</v>
      </c>
      <c r="I481" s="30">
        <f>IFERROR(VLOOKUP(H481,CARTON_LOOKUP!$A:$E,3,0),"")</f>
      </c>
      <c r="J481" s="30">
        <f>IFERROR(VLOOKUP(H481,CARTON_LOOKUP!$A:$E,4,0),"")</f>
      </c>
      <c r="K481" s="30">
        <f>IFERROR(VLOOKUP(H481,CARTON_LOOKUP!$A:$E,5,0),"")</f>
      </c>
      <c r="L481" s="31">
        <f>IFERROR(VLOOKUP(H481,CARTON_LOOKUP!$A:$E,2,0),"")</f>
      </c>
      <c r="M481" t="s">
        <v>101</v>
      </c>
      <c r="N481" t="s">
        <v>102</v>
      </c>
      <c r="O481" t="s">
        <v>103</v>
      </c>
    </row>
    <row r="482" spans="1:16" x14ac:dyDescent="0.25">
      <c r="A482" s="14"/>
      <c r="B482" s="28"/>
      <c r="C482" s="28"/>
      <c r="D482" t="s">
        <v>100</v>
      </c>
      <c r="E482" t="s">
        <v>50</v>
      </c>
      <c r="F482">
        <v>1</v>
      </c>
      <c r="G482" s="29">
        <v>0.21</v>
      </c>
      <c r="H482" t="s">
        <v>30</v>
      </c>
      <c r="I482" s="30">
        <f>IFERROR(VLOOKUP(H482,CARTON_LOOKUP!$A:$E,3,0),"")</f>
      </c>
      <c r="J482" s="30">
        <f>IFERROR(VLOOKUP(H482,CARTON_LOOKUP!$A:$E,4,0),"")</f>
      </c>
      <c r="K482" s="30">
        <f>IFERROR(VLOOKUP(H482,CARTON_LOOKUP!$A:$E,5,0),"")</f>
      </c>
      <c r="L482" s="31">
        <f>IFERROR(VLOOKUP(H482,CARTON_LOOKUP!$A:$E,2,0),"")</f>
      </c>
      <c r="M482" t="s">
        <v>101</v>
      </c>
      <c r="N482" t="s">
        <v>102</v>
      </c>
      <c r="O482" t="s">
        <v>103</v>
      </c>
    </row>
    <row r="483" spans="1:16" x14ac:dyDescent="0.25">
      <c r="A483" s="14"/>
      <c r="B483" s="28"/>
      <c r="C483" s="28"/>
      <c r="D483" t="s">
        <v>100</v>
      </c>
      <c r="E483" t="s">
        <v>50</v>
      </c>
      <c r="F483">
        <v>1</v>
      </c>
      <c r="G483" s="29">
        <v>0.21</v>
      </c>
      <c r="H483" t="s">
        <v>30</v>
      </c>
      <c r="I483" s="30">
        <f>IFERROR(VLOOKUP(H483,CARTON_LOOKUP!$A:$E,3,0),"")</f>
      </c>
      <c r="J483" s="30">
        <f>IFERROR(VLOOKUP(H483,CARTON_LOOKUP!$A:$E,4,0),"")</f>
      </c>
      <c r="K483" s="30">
        <f>IFERROR(VLOOKUP(H483,CARTON_LOOKUP!$A:$E,5,0),"")</f>
      </c>
      <c r="L483" s="31">
        <f>IFERROR(VLOOKUP(H483,CARTON_LOOKUP!$A:$E,2,0),"")</f>
      </c>
      <c r="M483" t="s">
        <v>101</v>
      </c>
      <c r="N483" t="s">
        <v>102</v>
      </c>
      <c r="O483" t="s">
        <v>103</v>
      </c>
    </row>
    <row r="484" spans="1:16" x14ac:dyDescent="0.25">
      <c r="A484" s="14"/>
      <c r="B484" s="28"/>
      <c r="C484" s="28"/>
      <c r="D484" t="s">
        <v>100</v>
      </c>
      <c r="E484" t="s">
        <v>50</v>
      </c>
      <c r="F484">
        <v>1</v>
      </c>
      <c r="G484" s="29">
        <v>0.21</v>
      </c>
      <c r="H484" t="s">
        <v>30</v>
      </c>
      <c r="I484" s="30">
        <f>IFERROR(VLOOKUP(H484,CARTON_LOOKUP!$A:$E,3,0),"")</f>
      </c>
      <c r="J484" s="30">
        <f>IFERROR(VLOOKUP(H484,CARTON_LOOKUP!$A:$E,4,0),"")</f>
      </c>
      <c r="K484" s="30">
        <f>IFERROR(VLOOKUP(H484,CARTON_LOOKUP!$A:$E,5,0),"")</f>
      </c>
      <c r="L484" s="31">
        <f>IFERROR(VLOOKUP(H484,CARTON_LOOKUP!$A:$E,2,0),"")</f>
      </c>
      <c r="M484" t="s">
        <v>101</v>
      </c>
      <c r="N484" t="s">
        <v>102</v>
      </c>
      <c r="O484" t="s">
        <v>103</v>
      </c>
    </row>
    <row r="485" spans="1:16" x14ac:dyDescent="0.25">
      <c r="A485" s="14"/>
      <c r="B485" s="28"/>
      <c r="C485" s="28"/>
      <c r="D485" t="s">
        <v>100</v>
      </c>
      <c r="E485" t="s">
        <v>50</v>
      </c>
      <c r="F485">
        <v>1</v>
      </c>
      <c r="G485" s="29">
        <v>0.21</v>
      </c>
      <c r="H485" t="s">
        <v>30</v>
      </c>
      <c r="I485" s="30">
        <f>IFERROR(VLOOKUP(H485,CARTON_LOOKUP!$A:$E,3,0),"")</f>
      </c>
      <c r="J485" s="30">
        <f>IFERROR(VLOOKUP(H485,CARTON_LOOKUP!$A:$E,4,0),"")</f>
      </c>
      <c r="K485" s="30">
        <f>IFERROR(VLOOKUP(H485,CARTON_LOOKUP!$A:$E,5,0),"")</f>
      </c>
      <c r="L485" s="31">
        <f>IFERROR(VLOOKUP(H485,CARTON_LOOKUP!$A:$E,2,0),"")</f>
      </c>
      <c r="M485" t="s">
        <v>101</v>
      </c>
      <c r="N485" t="s">
        <v>102</v>
      </c>
      <c r="O485" t="s">
        <v>103</v>
      </c>
    </row>
    <row r="486" spans="1:16" x14ac:dyDescent="0.25">
      <c r="A486" s="14"/>
      <c r="B486" s="28"/>
      <c r="C486" s="28"/>
      <c r="D486" t="s">
        <v>100</v>
      </c>
      <c r="E486" t="s">
        <v>50</v>
      </c>
      <c r="F486">
        <v>1</v>
      </c>
      <c r="G486" s="29">
        <v>0.21</v>
      </c>
      <c r="H486" t="s">
        <v>30</v>
      </c>
      <c r="I486" s="30">
        <f>IFERROR(VLOOKUP(H486,CARTON_LOOKUP!$A:$E,3,0),"")</f>
      </c>
      <c r="J486" s="30">
        <f>IFERROR(VLOOKUP(H486,CARTON_LOOKUP!$A:$E,4,0),"")</f>
      </c>
      <c r="K486" s="30">
        <f>IFERROR(VLOOKUP(H486,CARTON_LOOKUP!$A:$E,5,0),"")</f>
      </c>
      <c r="L486" s="31">
        <f>IFERROR(VLOOKUP(H486,CARTON_LOOKUP!$A:$E,2,0),"")</f>
      </c>
      <c r="M486" t="s">
        <v>101</v>
      </c>
      <c r="N486" t="s">
        <v>102</v>
      </c>
      <c r="O486" t="s">
        <v>103</v>
      </c>
    </row>
    <row r="487" spans="1:16" x14ac:dyDescent="0.25">
      <c r="A487" s="14"/>
      <c r="B487" s="28"/>
      <c r="C487" s="28"/>
      <c r="D487" t="s">
        <v>100</v>
      </c>
      <c r="E487" t="s">
        <v>50</v>
      </c>
      <c r="F487">
        <v>1</v>
      </c>
      <c r="G487" s="29">
        <v>0.21</v>
      </c>
      <c r="H487" t="s">
        <v>30</v>
      </c>
      <c r="I487" s="30">
        <f>IFERROR(VLOOKUP(H487,CARTON_LOOKUP!$A:$E,3,0),"")</f>
      </c>
      <c r="J487" s="30">
        <f>IFERROR(VLOOKUP(H487,CARTON_LOOKUP!$A:$E,4,0),"")</f>
      </c>
      <c r="K487" s="30">
        <f>IFERROR(VLOOKUP(H487,CARTON_LOOKUP!$A:$E,5,0),"")</f>
      </c>
      <c r="L487" s="31">
        <f>IFERROR(VLOOKUP(H487,CARTON_LOOKUP!$A:$E,2,0),"")</f>
      </c>
      <c r="M487" t="s">
        <v>101</v>
      </c>
      <c r="N487" t="s">
        <v>102</v>
      </c>
      <c r="O487" t="s">
        <v>103</v>
      </c>
    </row>
    <row r="488" spans="1:16" x14ac:dyDescent="0.25">
      <c r="A488" s="14"/>
      <c r="B488" s="28"/>
      <c r="C488" s="28"/>
      <c r="D488" t="s">
        <v>100</v>
      </c>
      <c r="E488" t="s">
        <v>50</v>
      </c>
      <c r="F488">
        <v>1</v>
      </c>
      <c r="G488" s="29">
        <v>0.21</v>
      </c>
      <c r="H488" t="s">
        <v>30</v>
      </c>
      <c r="I488" s="30">
        <f>IFERROR(VLOOKUP(H488,CARTON_LOOKUP!$A:$E,3,0),"")</f>
      </c>
      <c r="J488" s="30">
        <f>IFERROR(VLOOKUP(H488,CARTON_LOOKUP!$A:$E,4,0),"")</f>
      </c>
      <c r="K488" s="30">
        <f>IFERROR(VLOOKUP(H488,CARTON_LOOKUP!$A:$E,5,0),"")</f>
      </c>
      <c r="L488" s="31">
        <f>IFERROR(VLOOKUP(H488,CARTON_LOOKUP!$A:$E,2,0),"")</f>
      </c>
      <c r="M488" t="s">
        <v>101</v>
      </c>
      <c r="N488" t="s">
        <v>102</v>
      </c>
      <c r="O488" t="s">
        <v>103</v>
      </c>
    </row>
    <row r="489" spans="1:16" x14ac:dyDescent="0.25">
      <c r="A489" s="14"/>
      <c r="B489" s="28"/>
      <c r="C489" s="28"/>
      <c r="D489" t="s">
        <v>100</v>
      </c>
      <c r="E489" t="s">
        <v>50</v>
      </c>
      <c r="F489">
        <v>1</v>
      </c>
      <c r="G489" s="29">
        <v>0.21</v>
      </c>
      <c r="H489" t="s">
        <v>30</v>
      </c>
      <c r="I489" s="30">
        <f>IFERROR(VLOOKUP(H489,CARTON_LOOKUP!$A:$E,3,0),"")</f>
      </c>
      <c r="J489" s="30">
        <f>IFERROR(VLOOKUP(H489,CARTON_LOOKUP!$A:$E,4,0),"")</f>
      </c>
      <c r="K489" s="30">
        <f>IFERROR(VLOOKUP(H489,CARTON_LOOKUP!$A:$E,5,0),"")</f>
      </c>
      <c r="L489" s="31">
        <f>IFERROR(VLOOKUP(H489,CARTON_LOOKUP!$A:$E,2,0),"")</f>
      </c>
      <c r="M489" t="s">
        <v>101</v>
      </c>
      <c r="N489" t="s">
        <v>102</v>
      </c>
      <c r="O489" t="s">
        <v>103</v>
      </c>
    </row>
    <row r="490" spans="1:16" x14ac:dyDescent="0.25">
      <c r="A490" s="14"/>
      <c r="B490" s="28"/>
      <c r="C490" s="28"/>
      <c r="D490" t="s">
        <v>100</v>
      </c>
      <c r="E490" t="s">
        <v>50</v>
      </c>
      <c r="F490">
        <v>1</v>
      </c>
      <c r="G490" s="29">
        <v>0.21</v>
      </c>
      <c r="H490" t="s">
        <v>30</v>
      </c>
      <c r="I490" s="30">
        <f>IFERROR(VLOOKUP(H490,CARTON_LOOKUP!$A:$E,3,0),"")</f>
      </c>
      <c r="J490" s="30">
        <f>IFERROR(VLOOKUP(H490,CARTON_LOOKUP!$A:$E,4,0),"")</f>
      </c>
      <c r="K490" s="30">
        <f>IFERROR(VLOOKUP(H490,CARTON_LOOKUP!$A:$E,5,0),"")</f>
      </c>
      <c r="L490" s="31">
        <f>IFERROR(VLOOKUP(H490,CARTON_LOOKUP!$A:$E,2,0),"")</f>
      </c>
      <c r="M490" t="s">
        <v>101</v>
      </c>
      <c r="N490" t="s">
        <v>102</v>
      </c>
      <c r="O490" t="s">
        <v>103</v>
      </c>
    </row>
    <row r="491" spans="1:16" x14ac:dyDescent="0.25">
      <c r="A491" s="14"/>
      <c r="B491" s="28"/>
      <c r="C491" s="28"/>
      <c r="D491" t="s">
        <v>100</v>
      </c>
      <c r="E491" t="s">
        <v>50</v>
      </c>
      <c r="F491">
        <v>1</v>
      </c>
      <c r="G491" s="29">
        <v>0.21</v>
      </c>
      <c r="H491" t="s">
        <v>30</v>
      </c>
      <c r="I491" s="30">
        <f>IFERROR(VLOOKUP(H491,CARTON_LOOKUP!$A:$E,3,0),"")</f>
      </c>
      <c r="J491" s="30">
        <f>IFERROR(VLOOKUP(H491,CARTON_LOOKUP!$A:$E,4,0),"")</f>
      </c>
      <c r="K491" s="30">
        <f>IFERROR(VLOOKUP(H491,CARTON_LOOKUP!$A:$E,5,0),"")</f>
      </c>
      <c r="L491" s="31">
        <f>IFERROR(VLOOKUP(H491,CARTON_LOOKUP!$A:$E,2,0),"")</f>
      </c>
      <c r="M491" t="s">
        <v>101</v>
      </c>
      <c r="N491" t="s">
        <v>102</v>
      </c>
      <c r="O491" t="s">
        <v>103</v>
      </c>
    </row>
    <row r="492" spans="1:16" x14ac:dyDescent="0.25">
      <c r="A492" s="14"/>
      <c r="B492" s="28"/>
      <c r="C492" s="28"/>
      <c r="D492" t="s">
        <v>100</v>
      </c>
      <c r="E492" t="s">
        <v>50</v>
      </c>
      <c r="F492">
        <v>1</v>
      </c>
      <c r="G492" s="29">
        <v>0.21</v>
      </c>
      <c r="H492" t="s">
        <v>30</v>
      </c>
      <c r="I492" s="30">
        <f>IFERROR(VLOOKUP(H492,CARTON_LOOKUP!$A:$E,3,0),"")</f>
      </c>
      <c r="J492" s="30">
        <f>IFERROR(VLOOKUP(H492,CARTON_LOOKUP!$A:$E,4,0),"")</f>
      </c>
      <c r="K492" s="30">
        <f>IFERROR(VLOOKUP(H492,CARTON_LOOKUP!$A:$E,5,0),"")</f>
      </c>
      <c r="L492" s="31">
        <f>IFERROR(VLOOKUP(H492,CARTON_LOOKUP!$A:$E,2,0),"")</f>
      </c>
      <c r="M492" t="s">
        <v>101</v>
      </c>
      <c r="N492" t="s">
        <v>102</v>
      </c>
      <c r="O492" t="s">
        <v>103</v>
      </c>
    </row>
    <row r="493" spans="1:16" x14ac:dyDescent="0.25">
      <c r="A493" s="14"/>
      <c r="B493" s="28"/>
      <c r="C493" s="28"/>
      <c r="D493" t="s">
        <v>100</v>
      </c>
      <c r="E493" t="s">
        <v>50</v>
      </c>
      <c r="F493">
        <v>1</v>
      </c>
      <c r="G493" s="29">
        <v>0.21</v>
      </c>
      <c r="H493" t="s">
        <v>30</v>
      </c>
      <c r="I493" s="30">
        <f>IFERROR(VLOOKUP(H493,CARTON_LOOKUP!$A:$E,3,0),"")</f>
      </c>
      <c r="J493" s="30">
        <f>IFERROR(VLOOKUP(H493,CARTON_LOOKUP!$A:$E,4,0),"")</f>
      </c>
      <c r="K493" s="30">
        <f>IFERROR(VLOOKUP(H493,CARTON_LOOKUP!$A:$E,5,0),"")</f>
      </c>
      <c r="L493" s="31">
        <f>IFERROR(VLOOKUP(H493,CARTON_LOOKUP!$A:$E,2,0),"")</f>
      </c>
      <c r="M493" t="s">
        <v>101</v>
      </c>
      <c r="N493" t="s">
        <v>102</v>
      </c>
      <c r="O493" t="s">
        <v>103</v>
      </c>
    </row>
    <row r="494" spans="1:16" x14ac:dyDescent="0.25">
      <c r="A494" s="14"/>
      <c r="B494" s="28"/>
      <c r="C494" s="28"/>
      <c r="D494" t="s">
        <v>100</v>
      </c>
      <c r="E494" t="s">
        <v>50</v>
      </c>
      <c r="F494">
        <v>1</v>
      </c>
      <c r="G494" s="29">
        <v>0.21</v>
      </c>
      <c r="H494" t="s">
        <v>30</v>
      </c>
      <c r="I494" s="30">
        <f>IFERROR(VLOOKUP(H494,CARTON_LOOKUP!$A:$E,3,0),"")</f>
      </c>
      <c r="J494" s="30">
        <f>IFERROR(VLOOKUP(H494,CARTON_LOOKUP!$A:$E,4,0),"")</f>
      </c>
      <c r="K494" s="30">
        <f>IFERROR(VLOOKUP(H494,CARTON_LOOKUP!$A:$E,5,0),"")</f>
      </c>
      <c r="L494" s="31">
        <f>IFERROR(VLOOKUP(H494,CARTON_LOOKUP!$A:$E,2,0),"")</f>
      </c>
      <c r="M494" t="s">
        <v>101</v>
      </c>
      <c r="N494" t="s">
        <v>102</v>
      </c>
      <c r="O494" t="s">
        <v>103</v>
      </c>
    </row>
    <row r="495" spans="1:16" x14ac:dyDescent="0.25">
      <c r="A495" s="14"/>
      <c r="B495" s="28"/>
      <c r="C495" s="28"/>
      <c r="D495" t="s">
        <v>100</v>
      </c>
      <c r="E495" t="s">
        <v>50</v>
      </c>
      <c r="F495">
        <v>1</v>
      </c>
      <c r="G495" s="29">
        <v>0.21</v>
      </c>
      <c r="H495" t="s">
        <v>30</v>
      </c>
      <c r="I495" s="30">
        <f>IFERROR(VLOOKUP(H495,CARTON_LOOKUP!$A:$E,3,0),"")</f>
      </c>
      <c r="J495" s="30">
        <f>IFERROR(VLOOKUP(H495,CARTON_LOOKUP!$A:$E,4,0),"")</f>
      </c>
      <c r="K495" s="30">
        <f>IFERROR(VLOOKUP(H495,CARTON_LOOKUP!$A:$E,5,0),"")</f>
      </c>
      <c r="L495" s="31">
        <f>IFERROR(VLOOKUP(H495,CARTON_LOOKUP!$A:$E,2,0),"")</f>
      </c>
      <c r="M495" t="s">
        <v>101</v>
      </c>
      <c r="N495" t="s">
        <v>102</v>
      </c>
      <c r="O495" t="s">
        <v>103</v>
      </c>
    </row>
    <row r="496" spans="1:16" x14ac:dyDescent="0.25">
      <c r="A496" s="14"/>
      <c r="B496" s="28"/>
      <c r="C496" s="28"/>
      <c r="D496" t="s">
        <v>100</v>
      </c>
      <c r="E496" t="s">
        <v>50</v>
      </c>
      <c r="F496">
        <v>1</v>
      </c>
      <c r="G496" s="29">
        <v>0.21</v>
      </c>
      <c r="H496" t="s">
        <v>30</v>
      </c>
      <c r="I496" s="30">
        <f>IFERROR(VLOOKUP(H496,CARTON_LOOKUP!$A:$E,3,0),"")</f>
      </c>
      <c r="J496" s="30">
        <f>IFERROR(VLOOKUP(H496,CARTON_LOOKUP!$A:$E,4,0),"")</f>
      </c>
      <c r="K496" s="30">
        <f>IFERROR(VLOOKUP(H496,CARTON_LOOKUP!$A:$E,5,0),"")</f>
      </c>
      <c r="L496" s="31">
        <f>IFERROR(VLOOKUP(H496,CARTON_LOOKUP!$A:$E,2,0),"")</f>
      </c>
      <c r="M496" t="s">
        <v>101</v>
      </c>
      <c r="N496" t="s">
        <v>102</v>
      </c>
      <c r="O496" t="s">
        <v>103</v>
      </c>
    </row>
    <row r="497" spans="1:16" x14ac:dyDescent="0.25">
      <c r="A497" s="14"/>
      <c r="B497" s="28"/>
      <c r="C497" s="28"/>
      <c r="D497" t="s">
        <v>100</v>
      </c>
      <c r="E497" t="s">
        <v>50</v>
      </c>
      <c r="F497">
        <v>1</v>
      </c>
      <c r="G497" s="29">
        <v>0.21</v>
      </c>
      <c r="H497" t="s">
        <v>30</v>
      </c>
      <c r="I497" s="30">
        <f>IFERROR(VLOOKUP(H497,CARTON_LOOKUP!$A:$E,3,0),"")</f>
      </c>
      <c r="J497" s="30">
        <f>IFERROR(VLOOKUP(H497,CARTON_LOOKUP!$A:$E,4,0),"")</f>
      </c>
      <c r="K497" s="30">
        <f>IFERROR(VLOOKUP(H497,CARTON_LOOKUP!$A:$E,5,0),"")</f>
      </c>
      <c r="L497" s="31">
        <f>IFERROR(VLOOKUP(H497,CARTON_LOOKUP!$A:$E,2,0),"")</f>
      </c>
      <c r="M497" t="s">
        <v>101</v>
      </c>
      <c r="N497" t="s">
        <v>102</v>
      </c>
      <c r="O497" t="s">
        <v>103</v>
      </c>
    </row>
    <row r="498" spans="1:16" x14ac:dyDescent="0.25">
      <c r="A498" s="14"/>
      <c r="B498" s="28"/>
      <c r="C498" s="28"/>
      <c r="D498" t="s">
        <v>100</v>
      </c>
      <c r="E498" t="s">
        <v>50</v>
      </c>
      <c r="F498">
        <v>1</v>
      </c>
      <c r="G498" s="29">
        <v>0.21</v>
      </c>
      <c r="H498" t="s">
        <v>30</v>
      </c>
      <c r="I498" s="30">
        <f>IFERROR(VLOOKUP(H498,CARTON_LOOKUP!$A:$E,3,0),"")</f>
      </c>
      <c r="J498" s="30">
        <f>IFERROR(VLOOKUP(H498,CARTON_LOOKUP!$A:$E,4,0),"")</f>
      </c>
      <c r="K498" s="30">
        <f>IFERROR(VLOOKUP(H498,CARTON_LOOKUP!$A:$E,5,0),"")</f>
      </c>
      <c r="L498" s="31">
        <f>IFERROR(VLOOKUP(H498,CARTON_LOOKUP!$A:$E,2,0),"")</f>
      </c>
      <c r="M498" t="s">
        <v>101</v>
      </c>
      <c r="N498" t="s">
        <v>102</v>
      </c>
      <c r="O498" t="s">
        <v>103</v>
      </c>
    </row>
    <row r="499" spans="1:16" x14ac:dyDescent="0.25">
      <c r="A499" s="14"/>
      <c r="B499" s="28"/>
      <c r="C499" s="28"/>
      <c r="D499" t="s">
        <v>100</v>
      </c>
      <c r="E499" t="s">
        <v>50</v>
      </c>
      <c r="F499">
        <v>1</v>
      </c>
      <c r="G499" s="29">
        <v>0.21</v>
      </c>
      <c r="H499" t="s">
        <v>30</v>
      </c>
      <c r="I499" s="30">
        <f>IFERROR(VLOOKUP(H499,CARTON_LOOKUP!$A:$E,3,0),"")</f>
      </c>
      <c r="J499" s="30">
        <f>IFERROR(VLOOKUP(H499,CARTON_LOOKUP!$A:$E,4,0),"")</f>
      </c>
      <c r="K499" s="30">
        <f>IFERROR(VLOOKUP(H499,CARTON_LOOKUP!$A:$E,5,0),"")</f>
      </c>
      <c r="L499" s="31">
        <f>IFERROR(VLOOKUP(H499,CARTON_LOOKUP!$A:$E,2,0),"")</f>
      </c>
      <c r="M499" t="s">
        <v>101</v>
      </c>
      <c r="N499" t="s">
        <v>102</v>
      </c>
      <c r="O499" t="s">
        <v>103</v>
      </c>
    </row>
    <row r="500" spans="1:16" x14ac:dyDescent="0.25">
      <c r="A500" s="14"/>
      <c r="B500" s="28"/>
      <c r="C500" s="28"/>
      <c r="D500" t="s">
        <v>100</v>
      </c>
      <c r="E500" t="s">
        <v>50</v>
      </c>
      <c r="F500">
        <v>1</v>
      </c>
      <c r="G500" s="29">
        <v>0.21</v>
      </c>
      <c r="H500" t="s">
        <v>30</v>
      </c>
      <c r="I500" s="30">
        <f>IFERROR(VLOOKUP(H500,CARTON_LOOKUP!$A:$E,3,0),"")</f>
      </c>
      <c r="J500" s="30">
        <f>IFERROR(VLOOKUP(H500,CARTON_LOOKUP!$A:$E,4,0),"")</f>
      </c>
      <c r="K500" s="30">
        <f>IFERROR(VLOOKUP(H500,CARTON_LOOKUP!$A:$E,5,0),"")</f>
      </c>
      <c r="L500" s="31">
        <f>IFERROR(VLOOKUP(H500,CARTON_LOOKUP!$A:$E,2,0),"")</f>
      </c>
      <c r="M500" t="s">
        <v>101</v>
      </c>
      <c r="N500" t="s">
        <v>102</v>
      </c>
      <c r="O500" t="s">
        <v>103</v>
      </c>
    </row>
    <row r="501" spans="1:16" x14ac:dyDescent="0.25">
      <c r="A501" s="14"/>
      <c r="B501" s="28"/>
      <c r="C501" s="28"/>
      <c r="D501" t="s">
        <v>100</v>
      </c>
      <c r="E501" t="s">
        <v>50</v>
      </c>
      <c r="F501">
        <v>1</v>
      </c>
      <c r="G501" s="29">
        <v>0.21</v>
      </c>
      <c r="H501" t="s">
        <v>30</v>
      </c>
      <c r="I501" s="30">
        <f>IFERROR(VLOOKUP(H501,CARTON_LOOKUP!$A:$E,3,0),"")</f>
      </c>
      <c r="J501" s="30">
        <f>IFERROR(VLOOKUP(H501,CARTON_LOOKUP!$A:$E,4,0),"")</f>
      </c>
      <c r="K501" s="30">
        <f>IFERROR(VLOOKUP(H501,CARTON_LOOKUP!$A:$E,5,0),"")</f>
      </c>
      <c r="L501" s="31">
        <f>IFERROR(VLOOKUP(H501,CARTON_LOOKUP!$A:$E,2,0),"")</f>
      </c>
      <c r="M501" t="s">
        <v>101</v>
      </c>
      <c r="N501" t="s">
        <v>102</v>
      </c>
      <c r="O501" t="s">
        <v>103</v>
      </c>
    </row>
    <row r="502" spans="1:16" x14ac:dyDescent="0.25">
      <c r="A502" s="14"/>
      <c r="B502" s="28"/>
      <c r="C502" s="28"/>
      <c r="D502" t="s">
        <v>100</v>
      </c>
      <c r="E502" t="s">
        <v>50</v>
      </c>
      <c r="F502">
        <v>1</v>
      </c>
      <c r="G502" s="29">
        <v>0.21</v>
      </c>
      <c r="H502" t="s">
        <v>30</v>
      </c>
      <c r="I502" s="30">
        <f>IFERROR(VLOOKUP(H502,CARTON_LOOKUP!$A:$E,3,0),"")</f>
      </c>
      <c r="J502" s="30">
        <f>IFERROR(VLOOKUP(H502,CARTON_LOOKUP!$A:$E,4,0),"")</f>
      </c>
      <c r="K502" s="30">
        <f>IFERROR(VLOOKUP(H502,CARTON_LOOKUP!$A:$E,5,0),"")</f>
      </c>
      <c r="L502" s="31">
        <f>IFERROR(VLOOKUP(H502,CARTON_LOOKUP!$A:$E,2,0),"")</f>
      </c>
      <c r="M502" t="s">
        <v>101</v>
      </c>
      <c r="N502" t="s">
        <v>102</v>
      </c>
      <c r="O502" t="s">
        <v>103</v>
      </c>
    </row>
    <row r="503" spans="1:16" x14ac:dyDescent="0.25">
      <c r="A503" s="14"/>
      <c r="B503" s="28"/>
      <c r="C503" s="28"/>
      <c r="D503" t="s">
        <v>100</v>
      </c>
      <c r="E503" t="s">
        <v>50</v>
      </c>
      <c r="F503">
        <v>1</v>
      </c>
      <c r="G503" s="29">
        <v>0.21</v>
      </c>
      <c r="H503" t="s">
        <v>30</v>
      </c>
      <c r="I503" s="30">
        <f>IFERROR(VLOOKUP(H503,CARTON_LOOKUP!$A:$E,3,0),"")</f>
      </c>
      <c r="J503" s="30">
        <f>IFERROR(VLOOKUP(H503,CARTON_LOOKUP!$A:$E,4,0),"")</f>
      </c>
      <c r="K503" s="30">
        <f>IFERROR(VLOOKUP(H503,CARTON_LOOKUP!$A:$E,5,0),"")</f>
      </c>
      <c r="L503" s="31">
        <f>IFERROR(VLOOKUP(H503,CARTON_LOOKUP!$A:$E,2,0),"")</f>
      </c>
      <c r="M503" t="s">
        <v>101</v>
      </c>
      <c r="N503" t="s">
        <v>102</v>
      </c>
      <c r="O503" t="s">
        <v>103</v>
      </c>
    </row>
  </sheetData>
  <mergeCells count="4">
    <mergeCell ref="A2:H2"/>
    <mergeCell ref="I2:L2"/>
    <mergeCell ref="M2:O2"/>
    <mergeCell ref="P2:Q2"/>
  </mergeCells>
  <dataValidations count="520">
    <dataValidation type="textLength" operator="greaterThan" showErrorMessage="1" errorStyle="stop" errorTitle="Required" error="PO_Number cannot be blank" sqref="A10:A503">
      <formula1>0</formula1>
    </dataValidation>
    <dataValidation type="textLength" operator="greaterThan" showErrorMessage="1" errorStyle="stop" errorTitle="Required" error="PO_Number cannot be blank" sqref="A4:A503">
      <formula1>0</formula1>
    </dataValidation>
    <dataValidation type="date" operator="greaterThan" showInputMessage="1" promptTitle="Date format" prompt="DD/MM/YYYY" showErrorMessage="1" errorStyle="stop" errorTitle="Invalid date" error="Enter a valid date (DD/MM/YYYY)" sqref="B10:C503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B4:C503">
      <formula1>43831</formula1>
    </dataValidation>
    <dataValidation type="list" showErrorMessage="1" errorStyle="stop" errorTitle="Invalid Traffic Mode" error="Select CFS or CY" sqref="D10:D503">
      <formula1>"CFS,CY"</formula1>
    </dataValidation>
    <dataValidation type="list" showErrorMessage="1" errorStyle="stop" errorTitle="Invalid Traffic Mode" error="Select CFS or CY" sqref="D4:D503">
      <formula1>"CFS,CY"</formula1>
    </dataValidation>
    <dataValidation type="list" showErrorMessage="1" errorStyle="stop" errorTitle="Invalid Booking Group" error="Select a Booking Group from the list" sqref="E10:E503">
      <formula1>LISTS_LOOKUP!$A$2:$A$28</formula1>
    </dataValidation>
    <dataValidation type="list" showErrorMessage="1" errorStyle="stop" errorTitle="Invalid Booking Group" error="Select a Booking Group from the list" sqref="E4:E503">
      <formula1>LISTS_LOOKUP!$A$2:$A$28</formula1>
    </dataValidation>
    <dataValidation type="whole" operator="greaterThan" showErrorMessage="1" errorStyle="stop" errorTitle="No of Cartons required" error="Enter a whole number greater than 0" sqref="F10:F503">
      <formula1>0</formula1>
    </dataValidation>
    <dataValidation type="whole" operator="greaterThan" showErrorMessage="1" errorStyle="stop" errorTitle="No of Cartons required" error="Enter a whole number greater than 0" sqref="F4:F503">
      <formula1>0</formula1>
    </dataValidation>
    <dataValidation type="decimal" operator="greaterThan" showErrorMessage="1" errorStyle="stop" errorTitle="Unit Weight required" error="Enter a positive weight in KG (e.g. 0.21)" sqref="G10:G503">
      <formula1>0</formula1>
    </dataValidation>
    <dataValidation type="decimal" operator="greaterThan" showErrorMessage="1" errorStyle="stop" errorTitle="Unit Weight required" error="Enter a positive weight in KG (e.g. 0.21)" sqref="G4:G503">
      <formula1>0</formula1>
    </dataValidation>
    <dataValidation type="list" showErrorMessage="1" errorStyle="stop" errorTitle="Invalid Carton Type" error="Select a carton type from the list" sqref="H10:H503">
      <formula1>CARTON_LOOKUP!$A$2:$A$20</formula1>
    </dataValidation>
    <dataValidation type="list" showErrorMessage="1" errorStyle="stop" errorTitle="Invalid Carton Type" error="Select a carton type from the list" sqref="H4:H503">
      <formula1>CARTON_LOOKUP!$A$2:$A$20</formula1>
    </dataValidation>
    <dataValidation type="list" showErrorMessage="1" errorStyle="stop" errorTitle="Invalid Pack Type" error="Select Flat, Bulk Flat or Hanging" sqref="M10:M503">
      <formula1>"Flat,Bulk Flat,Hanging"</formula1>
    </dataValidation>
    <dataValidation type="list" showErrorMessage="1" errorStyle="stop" errorTitle="Invalid Pack Type" error="Select Flat, Bulk Flat or Hanging" sqref="M4:M503">
      <formula1>"Flat,Bulk Flat,Hanging"</formula1>
    </dataValidation>
    <dataValidation type="list" showErrorMessage="1" errorStyle="stop" errorTitle="Invalid Collection Type" error="Select Collection or Delivery" sqref="N10:N503">
      <formula1>"Collection,Delivery"</formula1>
    </dataValidation>
    <dataValidation type="list" showErrorMessage="1" errorStyle="stop" errorTitle="Invalid Collection Type" error="Select Collection or Delivery" sqref="N4:N503">
      <formula1>"Collection,Delivery"</formula1>
    </dataValidation>
    <dataValidation type="list" showErrorMessage="1" errorStyle="stop" errorTitle="Invalid Hazardous" error="Select a hazardous classification" sqref="O10:O503">
      <formula1>"Flammable,Glass - Hazardous,Hazardous,N/A"</formula1>
    </dataValidation>
    <dataValidation type="list" showErrorMessage="1" errorStyle="stop" errorTitle="Invalid Hazardous" error="Select a hazardous classification" sqref="O4:O503">
      <formula1>"Flammable,Glass - Hazardous,Hazardous,N/A"</formula1>
    </dataValidation>
    <dataValidation type="custom" showErrorMessage="1" errorStyle="stop" errorTitle="Invalid Time" error="Enter time as HH:MM (e.g. 09:30) or leave blank" sqref="P10">
      <formula1>OR(P10="",AND(LEN(P10)=5,MID(P10,3,1)=":",ISNUMBER(VALUE(LEFT(P10,2))),ISNUMBER(VALUE(RIGHT(P10,2))),VALUE(LEFT(P10,2))&lt;=23,VALUE(RIGHT(P10,2))&lt;=59))</formula1>
    </dataValidation>
    <dataValidation type="custom" showErrorMessage="1" errorStyle="stop" errorTitle="Invalid Time" error="Enter time as HH:MM (e.g. 09:30) or leave blank" sqref="P100">
      <formula1>OR(P100="",AND(LEN(P100)=5,MID(P100,3,1)=":",ISNUMBER(VALUE(LEFT(P100,2))),ISNUMBER(VALUE(RIGHT(P100,2))),VALUE(LEFT(P100,2))&lt;=23,VALUE(RIGHT(P100,2))&lt;=59))</formula1>
    </dataValidation>
    <dataValidation type="custom" showErrorMessage="1" errorStyle="stop" errorTitle="Invalid Time" error="Enter time as HH:MM (e.g. 09:30) or leave blank" sqref="P101">
      <formula1>OR(P101="",AND(LEN(P101)=5,MID(P101,3,1)=":",ISNUMBER(VALUE(LEFT(P101,2))),ISNUMBER(VALUE(RIGHT(P101,2))),VALUE(LEFT(P101,2))&lt;=23,VALUE(RIGHT(P101,2))&lt;=59))</formula1>
    </dataValidation>
    <dataValidation type="custom" showErrorMessage="1" errorStyle="stop" errorTitle="Invalid Time" error="Enter time as HH:MM (e.g. 09:30) or leave blank" sqref="P102">
      <formula1>OR(P102="",AND(LEN(P102)=5,MID(P102,3,1)=":",ISNUMBER(VALUE(LEFT(P102,2))),ISNUMBER(VALUE(RIGHT(P102,2))),VALUE(LEFT(P102,2))&lt;=23,VALUE(RIGHT(P102,2))&lt;=59))</formula1>
    </dataValidation>
    <dataValidation type="custom" showErrorMessage="1" errorStyle="stop" errorTitle="Invalid Time" error="Enter time as HH:MM (e.g. 09:30) or leave blank" sqref="P103">
      <formula1>OR(P103="",AND(LEN(P103)=5,MID(P103,3,1)=":",ISNUMBER(VALUE(LEFT(P103,2))),ISNUMBER(VALUE(RIGHT(P103,2))),VALUE(LEFT(P103,2))&lt;=23,VALUE(RIGHT(P103,2))&lt;=59))</formula1>
    </dataValidation>
    <dataValidation type="custom" showErrorMessage="1" errorStyle="stop" errorTitle="Invalid Time" error="Enter time as HH:MM (e.g. 09:30) or leave blank" sqref="P104">
      <formula1>OR(P104="",AND(LEN(P104)=5,MID(P104,3,1)=":",ISNUMBER(VALUE(LEFT(P104,2))),ISNUMBER(VALUE(RIGHT(P104,2))),VALUE(LEFT(P104,2))&lt;=23,VALUE(RIGHT(P104,2))&lt;=59))</formula1>
    </dataValidation>
    <dataValidation type="custom" showErrorMessage="1" errorStyle="stop" errorTitle="Invalid Time" error="Enter time as HH:MM (e.g. 09:30) or leave blank" sqref="P105">
      <formula1>OR(P105="",AND(LEN(P105)=5,MID(P105,3,1)=":",ISNUMBER(VALUE(LEFT(P105,2))),ISNUMBER(VALUE(RIGHT(P105,2))),VALUE(LEFT(P105,2))&lt;=23,VALUE(RIGHT(P105,2))&lt;=59))</formula1>
    </dataValidation>
    <dataValidation type="custom" showErrorMessage="1" errorStyle="stop" errorTitle="Invalid Time" error="Enter time as HH:MM (e.g. 09:30) or leave blank" sqref="P106">
      <formula1>OR(P106="",AND(LEN(P106)=5,MID(P106,3,1)=":",ISNUMBER(VALUE(LEFT(P106,2))),ISNUMBER(VALUE(RIGHT(P106,2))),VALUE(LEFT(P106,2))&lt;=23,VALUE(RIGHT(P106,2))&lt;=59))</formula1>
    </dataValidation>
    <dataValidation type="custom" showErrorMessage="1" errorStyle="stop" errorTitle="Invalid Time" error="Enter time as HH:MM (e.g. 09:30) or leave blank" sqref="P107">
      <formula1>OR(P107="",AND(LEN(P107)=5,MID(P107,3,1)=":",ISNUMBER(VALUE(LEFT(P107,2))),ISNUMBER(VALUE(RIGHT(P107,2))),VALUE(LEFT(P107,2))&lt;=23,VALUE(RIGHT(P107,2))&lt;=59))</formula1>
    </dataValidation>
    <dataValidation type="custom" showErrorMessage="1" errorStyle="stop" errorTitle="Invalid Time" error="Enter time as HH:MM (e.g. 09:30) or leave blank" sqref="P108">
      <formula1>OR(P108="",AND(LEN(P108)=5,MID(P108,3,1)=":",ISNUMBER(VALUE(LEFT(P108,2))),ISNUMBER(VALUE(RIGHT(P108,2))),VALUE(LEFT(P108,2))&lt;=23,VALUE(RIGHT(P108,2))&lt;=59))</formula1>
    </dataValidation>
    <dataValidation type="custom" showErrorMessage="1" errorStyle="stop" errorTitle="Invalid Time" error="Enter time as HH:MM (e.g. 09:30) or leave blank" sqref="P109">
      <formula1>OR(P109="",AND(LEN(P109)=5,MID(P109,3,1)=":",ISNUMBER(VALUE(LEFT(P109,2))),ISNUMBER(VALUE(RIGHT(P109,2))),VALUE(LEFT(P109,2))&lt;=23,VALUE(RIGHT(P109,2))&lt;=59))</formula1>
    </dataValidation>
    <dataValidation type="custom" showErrorMessage="1" errorStyle="stop" errorTitle="Invalid Time" error="Enter time as HH:MM (e.g. 09:30) or leave blank" sqref="P11">
      <formula1>OR(P11="",AND(LEN(P11)=5,MID(P11,3,1)=":",ISNUMBER(VALUE(LEFT(P11,2))),ISNUMBER(VALUE(RIGHT(P11,2))),VALUE(LEFT(P11,2))&lt;=23,VALUE(RIGHT(P11,2))&lt;=59))</formula1>
    </dataValidation>
    <dataValidation type="custom" showErrorMessage="1" errorStyle="stop" errorTitle="Invalid Time" error="Enter time as HH:MM (e.g. 09:30) or leave blank" sqref="P110">
      <formula1>OR(P110="",AND(LEN(P110)=5,MID(P110,3,1)=":",ISNUMBER(VALUE(LEFT(P110,2))),ISNUMBER(VALUE(RIGHT(P110,2))),VALUE(LEFT(P110,2))&lt;=23,VALUE(RIGHT(P110,2))&lt;=59))</formula1>
    </dataValidation>
    <dataValidation type="custom" showErrorMessage="1" errorStyle="stop" errorTitle="Invalid Time" error="Enter time as HH:MM (e.g. 09:30) or leave blank" sqref="P111">
      <formula1>OR(P111="",AND(LEN(P111)=5,MID(P111,3,1)=":",ISNUMBER(VALUE(LEFT(P111,2))),ISNUMBER(VALUE(RIGHT(P111,2))),VALUE(LEFT(P111,2))&lt;=23,VALUE(RIGHT(P111,2))&lt;=59))</formula1>
    </dataValidation>
    <dataValidation type="custom" showErrorMessage="1" errorStyle="stop" errorTitle="Invalid Time" error="Enter time as HH:MM (e.g. 09:30) or leave blank" sqref="P112">
      <formula1>OR(P112="",AND(LEN(P112)=5,MID(P112,3,1)=":",ISNUMBER(VALUE(LEFT(P112,2))),ISNUMBER(VALUE(RIGHT(P112,2))),VALUE(LEFT(P112,2))&lt;=23,VALUE(RIGHT(P112,2))&lt;=59))</formula1>
    </dataValidation>
    <dataValidation type="custom" showErrorMessage="1" errorStyle="stop" errorTitle="Invalid Time" error="Enter time as HH:MM (e.g. 09:30) or leave blank" sqref="P113">
      <formula1>OR(P113="",AND(LEN(P113)=5,MID(P113,3,1)=":",ISNUMBER(VALUE(LEFT(P113,2))),ISNUMBER(VALUE(RIGHT(P113,2))),VALUE(LEFT(P113,2))&lt;=23,VALUE(RIGHT(P113,2))&lt;=59))</formula1>
    </dataValidation>
    <dataValidation type="custom" showErrorMessage="1" errorStyle="stop" errorTitle="Invalid Time" error="Enter time as HH:MM (e.g. 09:30) or leave blank" sqref="P114">
      <formula1>OR(P114="",AND(LEN(P114)=5,MID(P114,3,1)=":",ISNUMBER(VALUE(LEFT(P114,2))),ISNUMBER(VALUE(RIGHT(P114,2))),VALUE(LEFT(P114,2))&lt;=23,VALUE(RIGHT(P114,2))&lt;=59))</formula1>
    </dataValidation>
    <dataValidation type="custom" showErrorMessage="1" errorStyle="stop" errorTitle="Invalid Time" error="Enter time as HH:MM (e.g. 09:30) or leave blank" sqref="P115">
      <formula1>OR(P115="",AND(LEN(P115)=5,MID(P115,3,1)=":",ISNUMBER(VALUE(LEFT(P115,2))),ISNUMBER(VALUE(RIGHT(P115,2))),VALUE(LEFT(P115,2))&lt;=23,VALUE(RIGHT(P115,2))&lt;=59))</formula1>
    </dataValidation>
    <dataValidation type="custom" showErrorMessage="1" errorStyle="stop" errorTitle="Invalid Time" error="Enter time as HH:MM (e.g. 09:30) or leave blank" sqref="P116">
      <formula1>OR(P116="",AND(LEN(P116)=5,MID(P116,3,1)=":",ISNUMBER(VALUE(LEFT(P116,2))),ISNUMBER(VALUE(RIGHT(P116,2))),VALUE(LEFT(P116,2))&lt;=23,VALUE(RIGHT(P116,2))&lt;=59))</formula1>
    </dataValidation>
    <dataValidation type="custom" showErrorMessage="1" errorStyle="stop" errorTitle="Invalid Time" error="Enter time as HH:MM (e.g. 09:30) or leave blank" sqref="P117">
      <formula1>OR(P117="",AND(LEN(P117)=5,MID(P117,3,1)=":",ISNUMBER(VALUE(LEFT(P117,2))),ISNUMBER(VALUE(RIGHT(P117,2))),VALUE(LEFT(P117,2))&lt;=23,VALUE(RIGHT(P117,2))&lt;=59))</formula1>
    </dataValidation>
    <dataValidation type="custom" showErrorMessage="1" errorStyle="stop" errorTitle="Invalid Time" error="Enter time as HH:MM (e.g. 09:30) or leave blank" sqref="P118">
      <formula1>OR(P118="",AND(LEN(P118)=5,MID(P118,3,1)=":",ISNUMBER(VALUE(LEFT(P118,2))),ISNUMBER(VALUE(RIGHT(P118,2))),VALUE(LEFT(P118,2))&lt;=23,VALUE(RIGHT(P118,2))&lt;=59))</formula1>
    </dataValidation>
    <dataValidation type="custom" showErrorMessage="1" errorStyle="stop" errorTitle="Invalid Time" error="Enter time as HH:MM (e.g. 09:30) or leave blank" sqref="P119">
      <formula1>OR(P119="",AND(LEN(P119)=5,MID(P119,3,1)=":",ISNUMBER(VALUE(LEFT(P119,2))),ISNUMBER(VALUE(RIGHT(P119,2))),VALUE(LEFT(P119,2))&lt;=23,VALUE(RIGHT(P119,2))&lt;=59))</formula1>
    </dataValidation>
    <dataValidation type="custom" showErrorMessage="1" errorStyle="stop" errorTitle="Invalid Time" error="Enter time as HH:MM (e.g. 09:30) or leave blank" sqref="P12">
      <formula1>OR(P12="",AND(LEN(P12)=5,MID(P12,3,1)=":",ISNUMBER(VALUE(LEFT(P12,2))),ISNUMBER(VALUE(RIGHT(P12,2))),VALUE(LEFT(P12,2))&lt;=23,VALUE(RIGHT(P12,2))&lt;=59))</formula1>
    </dataValidation>
    <dataValidation type="custom" showErrorMessage="1" errorStyle="stop" errorTitle="Invalid Time" error="Enter time as HH:MM (e.g. 09:30) or leave blank" sqref="P120">
      <formula1>OR(P120="",AND(LEN(P120)=5,MID(P120,3,1)=":",ISNUMBER(VALUE(LEFT(P120,2))),ISNUMBER(VALUE(RIGHT(P120,2))),VALUE(LEFT(P120,2))&lt;=23,VALUE(RIGHT(P120,2))&lt;=59))</formula1>
    </dataValidation>
    <dataValidation type="custom" showErrorMessage="1" errorStyle="stop" errorTitle="Invalid Time" error="Enter time as HH:MM (e.g. 09:30) or leave blank" sqref="P121">
      <formula1>OR(P121="",AND(LEN(P121)=5,MID(P121,3,1)=":",ISNUMBER(VALUE(LEFT(P121,2))),ISNUMBER(VALUE(RIGHT(P121,2))),VALUE(LEFT(P121,2))&lt;=23,VALUE(RIGHT(P121,2))&lt;=59))</formula1>
    </dataValidation>
    <dataValidation type="custom" showErrorMessage="1" errorStyle="stop" errorTitle="Invalid Time" error="Enter time as HH:MM (e.g. 09:30) or leave blank" sqref="P122">
      <formula1>OR(P122="",AND(LEN(P122)=5,MID(P122,3,1)=":",ISNUMBER(VALUE(LEFT(P122,2))),ISNUMBER(VALUE(RIGHT(P122,2))),VALUE(LEFT(P122,2))&lt;=23,VALUE(RIGHT(P122,2))&lt;=59))</formula1>
    </dataValidation>
    <dataValidation type="custom" showErrorMessage="1" errorStyle="stop" errorTitle="Invalid Time" error="Enter time as HH:MM (e.g. 09:30) or leave blank" sqref="P123">
      <formula1>OR(P123="",AND(LEN(P123)=5,MID(P123,3,1)=":",ISNUMBER(VALUE(LEFT(P123,2))),ISNUMBER(VALUE(RIGHT(P123,2))),VALUE(LEFT(P123,2))&lt;=23,VALUE(RIGHT(P123,2))&lt;=59))</formula1>
    </dataValidation>
    <dataValidation type="custom" showErrorMessage="1" errorStyle="stop" errorTitle="Invalid Time" error="Enter time as HH:MM (e.g. 09:30) or leave blank" sqref="P124">
      <formula1>OR(P124="",AND(LEN(P124)=5,MID(P124,3,1)=":",ISNUMBER(VALUE(LEFT(P124,2))),ISNUMBER(VALUE(RIGHT(P124,2))),VALUE(LEFT(P124,2))&lt;=23,VALUE(RIGHT(P124,2))&lt;=59))</formula1>
    </dataValidation>
    <dataValidation type="custom" showErrorMessage="1" errorStyle="stop" errorTitle="Invalid Time" error="Enter time as HH:MM (e.g. 09:30) or leave blank" sqref="P125">
      <formula1>OR(P125="",AND(LEN(P125)=5,MID(P125,3,1)=":",ISNUMBER(VALUE(LEFT(P125,2))),ISNUMBER(VALUE(RIGHT(P125,2))),VALUE(LEFT(P125,2))&lt;=23,VALUE(RIGHT(P125,2))&lt;=59))</formula1>
    </dataValidation>
    <dataValidation type="custom" showErrorMessage="1" errorStyle="stop" errorTitle="Invalid Time" error="Enter time as HH:MM (e.g. 09:30) or leave blank" sqref="P126">
      <formula1>OR(P126="",AND(LEN(P126)=5,MID(P126,3,1)=":",ISNUMBER(VALUE(LEFT(P126,2))),ISNUMBER(VALUE(RIGHT(P126,2))),VALUE(LEFT(P126,2))&lt;=23,VALUE(RIGHT(P126,2))&lt;=59))</formula1>
    </dataValidation>
    <dataValidation type="custom" showErrorMessage="1" errorStyle="stop" errorTitle="Invalid Time" error="Enter time as HH:MM (e.g. 09:30) or leave blank" sqref="P127">
      <formula1>OR(P127="",AND(LEN(P127)=5,MID(P127,3,1)=":",ISNUMBER(VALUE(LEFT(P127,2))),ISNUMBER(VALUE(RIGHT(P127,2))),VALUE(LEFT(P127,2))&lt;=23,VALUE(RIGHT(P127,2))&lt;=59))</formula1>
    </dataValidation>
    <dataValidation type="custom" showErrorMessage="1" errorStyle="stop" errorTitle="Invalid Time" error="Enter time as HH:MM (e.g. 09:30) or leave blank" sqref="P128">
      <formula1>OR(P128="",AND(LEN(P128)=5,MID(P128,3,1)=":",ISNUMBER(VALUE(LEFT(P128,2))),ISNUMBER(VALUE(RIGHT(P128,2))),VALUE(LEFT(P128,2))&lt;=23,VALUE(RIGHT(P128,2))&lt;=59))</formula1>
    </dataValidation>
    <dataValidation type="custom" showErrorMessage="1" errorStyle="stop" errorTitle="Invalid Time" error="Enter time as HH:MM (e.g. 09:30) or leave blank" sqref="P129">
      <formula1>OR(P129="",AND(LEN(P129)=5,MID(P129,3,1)=":",ISNUMBER(VALUE(LEFT(P129,2))),ISNUMBER(VALUE(RIGHT(P129,2))),VALUE(LEFT(P129,2))&lt;=23,VALUE(RIGHT(P129,2))&lt;=59))</formula1>
    </dataValidation>
    <dataValidation type="custom" showErrorMessage="1" errorStyle="stop" errorTitle="Invalid Time" error="Enter time as HH:MM (e.g. 09:30) or leave blank" sqref="P13">
      <formula1>OR(P13="",AND(LEN(P13)=5,MID(P13,3,1)=":",ISNUMBER(VALUE(LEFT(P13,2))),ISNUMBER(VALUE(RIGHT(P13,2))),VALUE(LEFT(P13,2))&lt;=23,VALUE(RIGHT(P13,2))&lt;=59))</formula1>
    </dataValidation>
    <dataValidation type="custom" showErrorMessage="1" errorStyle="stop" errorTitle="Invalid Time" error="Enter time as HH:MM (e.g. 09:30) or leave blank" sqref="P130">
      <formula1>OR(P130="",AND(LEN(P130)=5,MID(P130,3,1)=":",ISNUMBER(VALUE(LEFT(P130,2))),ISNUMBER(VALUE(RIGHT(P130,2))),VALUE(LEFT(P130,2))&lt;=23,VALUE(RIGHT(P130,2))&lt;=59))</formula1>
    </dataValidation>
    <dataValidation type="custom" showErrorMessage="1" errorStyle="stop" errorTitle="Invalid Time" error="Enter time as HH:MM (e.g. 09:30) or leave blank" sqref="P131">
      <formula1>OR(P131="",AND(LEN(P131)=5,MID(P131,3,1)=":",ISNUMBER(VALUE(LEFT(P131,2))),ISNUMBER(VALUE(RIGHT(P131,2))),VALUE(LEFT(P131,2))&lt;=23,VALUE(RIGHT(P131,2))&lt;=59))</formula1>
    </dataValidation>
    <dataValidation type="custom" showErrorMessage="1" errorStyle="stop" errorTitle="Invalid Time" error="Enter time as HH:MM (e.g. 09:30) or leave blank" sqref="P132">
      <formula1>OR(P132="",AND(LEN(P132)=5,MID(P132,3,1)=":",ISNUMBER(VALUE(LEFT(P132,2))),ISNUMBER(VALUE(RIGHT(P132,2))),VALUE(LEFT(P132,2))&lt;=23,VALUE(RIGHT(P132,2))&lt;=59))</formula1>
    </dataValidation>
    <dataValidation type="custom" showErrorMessage="1" errorStyle="stop" errorTitle="Invalid Time" error="Enter time as HH:MM (e.g. 09:30) or leave blank" sqref="P133">
      <formula1>OR(P133="",AND(LEN(P133)=5,MID(P133,3,1)=":",ISNUMBER(VALUE(LEFT(P133,2))),ISNUMBER(VALUE(RIGHT(P133,2))),VALUE(LEFT(P133,2))&lt;=23,VALUE(RIGHT(P133,2))&lt;=59))</formula1>
    </dataValidation>
    <dataValidation type="custom" showErrorMessage="1" errorStyle="stop" errorTitle="Invalid Time" error="Enter time as HH:MM (e.g. 09:30) or leave blank" sqref="P134">
      <formula1>OR(P134="",AND(LEN(P134)=5,MID(P134,3,1)=":",ISNUMBER(VALUE(LEFT(P134,2))),ISNUMBER(VALUE(RIGHT(P134,2))),VALUE(LEFT(P134,2))&lt;=23,VALUE(RIGHT(P134,2))&lt;=59))</formula1>
    </dataValidation>
    <dataValidation type="custom" showErrorMessage="1" errorStyle="stop" errorTitle="Invalid Time" error="Enter time as HH:MM (e.g. 09:30) or leave blank" sqref="P135">
      <formula1>OR(P135="",AND(LEN(P135)=5,MID(P135,3,1)=":",ISNUMBER(VALUE(LEFT(P135,2))),ISNUMBER(VALUE(RIGHT(P135,2))),VALUE(LEFT(P135,2))&lt;=23,VALUE(RIGHT(P135,2))&lt;=59))</formula1>
    </dataValidation>
    <dataValidation type="custom" showErrorMessage="1" errorStyle="stop" errorTitle="Invalid Time" error="Enter time as HH:MM (e.g. 09:30) or leave blank" sqref="P136">
      <formula1>OR(P136="",AND(LEN(P136)=5,MID(P136,3,1)=":",ISNUMBER(VALUE(LEFT(P136,2))),ISNUMBER(VALUE(RIGHT(P136,2))),VALUE(LEFT(P136,2))&lt;=23,VALUE(RIGHT(P136,2))&lt;=59))</formula1>
    </dataValidation>
    <dataValidation type="custom" showErrorMessage="1" errorStyle="stop" errorTitle="Invalid Time" error="Enter time as HH:MM (e.g. 09:30) or leave blank" sqref="P137">
      <formula1>OR(P137="",AND(LEN(P137)=5,MID(P137,3,1)=":",ISNUMBER(VALUE(LEFT(P137,2))),ISNUMBER(VALUE(RIGHT(P137,2))),VALUE(LEFT(P137,2))&lt;=23,VALUE(RIGHT(P137,2))&lt;=59))</formula1>
    </dataValidation>
    <dataValidation type="custom" showErrorMessage="1" errorStyle="stop" errorTitle="Invalid Time" error="Enter time as HH:MM (e.g. 09:30) or leave blank" sqref="P138">
      <formula1>OR(P138="",AND(LEN(P138)=5,MID(P138,3,1)=":",ISNUMBER(VALUE(LEFT(P138,2))),ISNUMBER(VALUE(RIGHT(P138,2))),VALUE(LEFT(P138,2))&lt;=23,VALUE(RIGHT(P138,2))&lt;=59))</formula1>
    </dataValidation>
    <dataValidation type="custom" showErrorMessage="1" errorStyle="stop" errorTitle="Invalid Time" error="Enter time as HH:MM (e.g. 09:30) or leave blank" sqref="P139">
      <formula1>OR(P139="",AND(LEN(P139)=5,MID(P139,3,1)=":",ISNUMBER(VALUE(LEFT(P139,2))),ISNUMBER(VALUE(RIGHT(P139,2))),VALUE(LEFT(P139,2))&lt;=23,VALUE(RIGHT(P139,2))&lt;=59))</formula1>
    </dataValidation>
    <dataValidation type="custom" showErrorMessage="1" errorStyle="stop" errorTitle="Invalid Time" error="Enter time as HH:MM (e.g. 09:30) or leave blank" sqref="P14">
      <formula1>OR(P14="",AND(LEN(P14)=5,MID(P14,3,1)=":",ISNUMBER(VALUE(LEFT(P14,2))),ISNUMBER(VALUE(RIGHT(P14,2))),VALUE(LEFT(P14,2))&lt;=23,VALUE(RIGHT(P14,2))&lt;=59))</formula1>
    </dataValidation>
    <dataValidation type="custom" showErrorMessage="1" errorStyle="stop" errorTitle="Invalid Time" error="Enter time as HH:MM (e.g. 09:30) or leave blank" sqref="P140">
      <formula1>OR(P140="",AND(LEN(P140)=5,MID(P140,3,1)=":",ISNUMBER(VALUE(LEFT(P140,2))),ISNUMBER(VALUE(RIGHT(P140,2))),VALUE(LEFT(P140,2))&lt;=23,VALUE(RIGHT(P140,2))&lt;=59))</formula1>
    </dataValidation>
    <dataValidation type="custom" showErrorMessage="1" errorStyle="stop" errorTitle="Invalid Time" error="Enter time as HH:MM (e.g. 09:30) or leave blank" sqref="P141">
      <formula1>OR(P141="",AND(LEN(P141)=5,MID(P141,3,1)=":",ISNUMBER(VALUE(LEFT(P141,2))),ISNUMBER(VALUE(RIGHT(P141,2))),VALUE(LEFT(P141,2))&lt;=23,VALUE(RIGHT(P141,2))&lt;=59))</formula1>
    </dataValidation>
    <dataValidation type="custom" showErrorMessage="1" errorStyle="stop" errorTitle="Invalid Time" error="Enter time as HH:MM (e.g. 09:30) or leave blank" sqref="P142">
      <formula1>OR(P142="",AND(LEN(P142)=5,MID(P142,3,1)=":",ISNUMBER(VALUE(LEFT(P142,2))),ISNUMBER(VALUE(RIGHT(P142,2))),VALUE(LEFT(P142,2))&lt;=23,VALUE(RIGHT(P142,2))&lt;=59))</formula1>
    </dataValidation>
    <dataValidation type="custom" showErrorMessage="1" errorStyle="stop" errorTitle="Invalid Time" error="Enter time as HH:MM (e.g. 09:30) or leave blank" sqref="P143">
      <formula1>OR(P143="",AND(LEN(P143)=5,MID(P143,3,1)=":",ISNUMBER(VALUE(LEFT(P143,2))),ISNUMBER(VALUE(RIGHT(P143,2))),VALUE(LEFT(P143,2))&lt;=23,VALUE(RIGHT(P143,2))&lt;=59))</formula1>
    </dataValidation>
    <dataValidation type="custom" showErrorMessage="1" errorStyle="stop" errorTitle="Invalid Time" error="Enter time as HH:MM (e.g. 09:30) or leave blank" sqref="P144">
      <formula1>OR(P144="",AND(LEN(P144)=5,MID(P144,3,1)=":",ISNUMBER(VALUE(LEFT(P144,2))),ISNUMBER(VALUE(RIGHT(P144,2))),VALUE(LEFT(P144,2))&lt;=23,VALUE(RIGHT(P144,2))&lt;=59))</formula1>
    </dataValidation>
    <dataValidation type="custom" showErrorMessage="1" errorStyle="stop" errorTitle="Invalid Time" error="Enter time as HH:MM (e.g. 09:30) or leave blank" sqref="P145">
      <formula1>OR(P145="",AND(LEN(P145)=5,MID(P145,3,1)=":",ISNUMBER(VALUE(LEFT(P145,2))),ISNUMBER(VALUE(RIGHT(P145,2))),VALUE(LEFT(P145,2))&lt;=23,VALUE(RIGHT(P145,2))&lt;=59))</formula1>
    </dataValidation>
    <dataValidation type="custom" showErrorMessage="1" errorStyle="stop" errorTitle="Invalid Time" error="Enter time as HH:MM (e.g. 09:30) or leave blank" sqref="P146">
      <formula1>OR(P146="",AND(LEN(P146)=5,MID(P146,3,1)=":",ISNUMBER(VALUE(LEFT(P146,2))),ISNUMBER(VALUE(RIGHT(P146,2))),VALUE(LEFT(P146,2))&lt;=23,VALUE(RIGHT(P146,2))&lt;=59))</formula1>
    </dataValidation>
    <dataValidation type="custom" showErrorMessage="1" errorStyle="stop" errorTitle="Invalid Time" error="Enter time as HH:MM (e.g. 09:30) or leave blank" sqref="P147">
      <formula1>OR(P147="",AND(LEN(P147)=5,MID(P147,3,1)=":",ISNUMBER(VALUE(LEFT(P147,2))),ISNUMBER(VALUE(RIGHT(P147,2))),VALUE(LEFT(P147,2))&lt;=23,VALUE(RIGHT(P147,2))&lt;=59))</formula1>
    </dataValidation>
    <dataValidation type="custom" showErrorMessage="1" errorStyle="stop" errorTitle="Invalid Time" error="Enter time as HH:MM (e.g. 09:30) or leave blank" sqref="P148">
      <formula1>OR(P148="",AND(LEN(P148)=5,MID(P148,3,1)=":",ISNUMBER(VALUE(LEFT(P148,2))),ISNUMBER(VALUE(RIGHT(P148,2))),VALUE(LEFT(P148,2))&lt;=23,VALUE(RIGHT(P148,2))&lt;=59))</formula1>
    </dataValidation>
    <dataValidation type="custom" showErrorMessage="1" errorStyle="stop" errorTitle="Invalid Time" error="Enter time as HH:MM (e.g. 09:30) or leave blank" sqref="P149">
      <formula1>OR(P149="",AND(LEN(P149)=5,MID(P149,3,1)=":",ISNUMBER(VALUE(LEFT(P149,2))),ISNUMBER(VALUE(RIGHT(P149,2))),VALUE(LEFT(P149,2))&lt;=23,VALUE(RIGHT(P149,2))&lt;=59))</formula1>
    </dataValidation>
    <dataValidation type="custom" showErrorMessage="1" errorStyle="stop" errorTitle="Invalid Time" error="Enter time as HH:MM (e.g. 09:30) or leave blank" sqref="P15">
      <formula1>OR(P15="",AND(LEN(P15)=5,MID(P15,3,1)=":",ISNUMBER(VALUE(LEFT(P15,2))),ISNUMBER(VALUE(RIGHT(P15,2))),VALUE(LEFT(P15,2))&lt;=23,VALUE(RIGHT(P15,2))&lt;=59))</formula1>
    </dataValidation>
    <dataValidation type="custom" showErrorMessage="1" errorStyle="stop" errorTitle="Invalid Time" error="Enter time as HH:MM (e.g. 09:30) or leave blank" sqref="P150">
      <formula1>OR(P150="",AND(LEN(P150)=5,MID(P150,3,1)=":",ISNUMBER(VALUE(LEFT(P150,2))),ISNUMBER(VALUE(RIGHT(P150,2))),VALUE(LEFT(P150,2))&lt;=23,VALUE(RIGHT(P150,2))&lt;=59))</formula1>
    </dataValidation>
    <dataValidation type="custom" showErrorMessage="1" errorStyle="stop" errorTitle="Invalid Time" error="Enter time as HH:MM (e.g. 09:30) or leave blank" sqref="P151">
      <formula1>OR(P151="",AND(LEN(P151)=5,MID(P151,3,1)=":",ISNUMBER(VALUE(LEFT(P151,2))),ISNUMBER(VALUE(RIGHT(P151,2))),VALUE(LEFT(P151,2))&lt;=23,VALUE(RIGHT(P151,2))&lt;=59))</formula1>
    </dataValidation>
    <dataValidation type="custom" showErrorMessage="1" errorStyle="stop" errorTitle="Invalid Time" error="Enter time as HH:MM (e.g. 09:30) or leave blank" sqref="P152">
      <formula1>OR(P152="",AND(LEN(P152)=5,MID(P152,3,1)=":",ISNUMBER(VALUE(LEFT(P152,2))),ISNUMBER(VALUE(RIGHT(P152,2))),VALUE(LEFT(P152,2))&lt;=23,VALUE(RIGHT(P152,2))&lt;=59))</formula1>
    </dataValidation>
    <dataValidation type="custom" showErrorMessage="1" errorStyle="stop" errorTitle="Invalid Time" error="Enter time as HH:MM (e.g. 09:30) or leave blank" sqref="P153">
      <formula1>OR(P153="",AND(LEN(P153)=5,MID(P153,3,1)=":",ISNUMBER(VALUE(LEFT(P153,2))),ISNUMBER(VALUE(RIGHT(P153,2))),VALUE(LEFT(P153,2))&lt;=23,VALUE(RIGHT(P153,2))&lt;=59))</formula1>
    </dataValidation>
    <dataValidation type="custom" showErrorMessage="1" errorStyle="stop" errorTitle="Invalid Time" error="Enter time as HH:MM (e.g. 09:30) or leave blank" sqref="P154">
      <formula1>OR(P154="",AND(LEN(P154)=5,MID(P154,3,1)=":",ISNUMBER(VALUE(LEFT(P154,2))),ISNUMBER(VALUE(RIGHT(P154,2))),VALUE(LEFT(P154,2))&lt;=23,VALUE(RIGHT(P154,2))&lt;=59))</formula1>
    </dataValidation>
    <dataValidation type="custom" showErrorMessage="1" errorStyle="stop" errorTitle="Invalid Time" error="Enter time as HH:MM (e.g. 09:30) or leave blank" sqref="P155">
      <formula1>OR(P155="",AND(LEN(P155)=5,MID(P155,3,1)=":",ISNUMBER(VALUE(LEFT(P155,2))),ISNUMBER(VALUE(RIGHT(P155,2))),VALUE(LEFT(P155,2))&lt;=23,VALUE(RIGHT(P155,2))&lt;=59))</formula1>
    </dataValidation>
    <dataValidation type="custom" showErrorMessage="1" errorStyle="stop" errorTitle="Invalid Time" error="Enter time as HH:MM (e.g. 09:30) or leave blank" sqref="P156">
      <formula1>OR(P156="",AND(LEN(P156)=5,MID(P156,3,1)=":",ISNUMBER(VALUE(LEFT(P156,2))),ISNUMBER(VALUE(RIGHT(P156,2))),VALUE(LEFT(P156,2))&lt;=23,VALUE(RIGHT(P156,2))&lt;=59))</formula1>
    </dataValidation>
    <dataValidation type="custom" showErrorMessage="1" errorStyle="stop" errorTitle="Invalid Time" error="Enter time as HH:MM (e.g. 09:30) or leave blank" sqref="P157">
      <formula1>OR(P157="",AND(LEN(P157)=5,MID(P157,3,1)=":",ISNUMBER(VALUE(LEFT(P157,2))),ISNUMBER(VALUE(RIGHT(P157,2))),VALUE(LEFT(P157,2))&lt;=23,VALUE(RIGHT(P157,2))&lt;=59))</formula1>
    </dataValidation>
    <dataValidation type="custom" showErrorMessage="1" errorStyle="stop" errorTitle="Invalid Time" error="Enter time as HH:MM (e.g. 09:30) or leave blank" sqref="P158">
      <formula1>OR(P158="",AND(LEN(P158)=5,MID(P158,3,1)=":",ISNUMBER(VALUE(LEFT(P158,2))),ISNUMBER(VALUE(RIGHT(P158,2))),VALUE(LEFT(P158,2))&lt;=23,VALUE(RIGHT(P158,2))&lt;=59))</formula1>
    </dataValidation>
    <dataValidation type="custom" showErrorMessage="1" errorStyle="stop" errorTitle="Invalid Time" error="Enter time as HH:MM (e.g. 09:30) or leave blank" sqref="P159">
      <formula1>OR(P159="",AND(LEN(P159)=5,MID(P159,3,1)=":",ISNUMBER(VALUE(LEFT(P159,2))),ISNUMBER(VALUE(RIGHT(P159,2))),VALUE(LEFT(P159,2))&lt;=23,VALUE(RIGHT(P159,2))&lt;=59))</formula1>
    </dataValidation>
    <dataValidation type="custom" showErrorMessage="1" errorStyle="stop" errorTitle="Invalid Time" error="Enter time as HH:MM (e.g. 09:30) or leave blank" sqref="P16">
      <formula1>OR(P16="",AND(LEN(P16)=5,MID(P16,3,1)=":",ISNUMBER(VALUE(LEFT(P16,2))),ISNUMBER(VALUE(RIGHT(P16,2))),VALUE(LEFT(P16,2))&lt;=23,VALUE(RIGHT(P16,2))&lt;=59))</formula1>
    </dataValidation>
    <dataValidation type="custom" showErrorMessage="1" errorStyle="stop" errorTitle="Invalid Time" error="Enter time as HH:MM (e.g. 09:30) or leave blank" sqref="P160">
      <formula1>OR(P160="",AND(LEN(P160)=5,MID(P160,3,1)=":",ISNUMBER(VALUE(LEFT(P160,2))),ISNUMBER(VALUE(RIGHT(P160,2))),VALUE(LEFT(P160,2))&lt;=23,VALUE(RIGHT(P160,2))&lt;=59))</formula1>
    </dataValidation>
    <dataValidation type="custom" showErrorMessage="1" errorStyle="stop" errorTitle="Invalid Time" error="Enter time as HH:MM (e.g. 09:30) or leave blank" sqref="P161">
      <formula1>OR(P161="",AND(LEN(P161)=5,MID(P161,3,1)=":",ISNUMBER(VALUE(LEFT(P161,2))),ISNUMBER(VALUE(RIGHT(P161,2))),VALUE(LEFT(P161,2))&lt;=23,VALUE(RIGHT(P161,2))&lt;=59))</formula1>
    </dataValidation>
    <dataValidation type="custom" showErrorMessage="1" errorStyle="stop" errorTitle="Invalid Time" error="Enter time as HH:MM (e.g. 09:30) or leave blank" sqref="P162">
      <formula1>OR(P162="",AND(LEN(P162)=5,MID(P162,3,1)=":",ISNUMBER(VALUE(LEFT(P162,2))),ISNUMBER(VALUE(RIGHT(P162,2))),VALUE(LEFT(P162,2))&lt;=23,VALUE(RIGHT(P162,2))&lt;=59))</formula1>
    </dataValidation>
    <dataValidation type="custom" showErrorMessage="1" errorStyle="stop" errorTitle="Invalid Time" error="Enter time as HH:MM (e.g. 09:30) or leave blank" sqref="P163">
      <formula1>OR(P163="",AND(LEN(P163)=5,MID(P163,3,1)=":",ISNUMBER(VALUE(LEFT(P163,2))),ISNUMBER(VALUE(RIGHT(P163,2))),VALUE(LEFT(P163,2))&lt;=23,VALUE(RIGHT(P163,2))&lt;=59))</formula1>
    </dataValidation>
    <dataValidation type="custom" showErrorMessage="1" errorStyle="stop" errorTitle="Invalid Time" error="Enter time as HH:MM (e.g. 09:30) or leave blank" sqref="P164">
      <formula1>OR(P164="",AND(LEN(P164)=5,MID(P164,3,1)=":",ISNUMBER(VALUE(LEFT(P164,2))),ISNUMBER(VALUE(RIGHT(P164,2))),VALUE(LEFT(P164,2))&lt;=23,VALUE(RIGHT(P164,2))&lt;=59))</formula1>
    </dataValidation>
    <dataValidation type="custom" showErrorMessage="1" errorStyle="stop" errorTitle="Invalid Time" error="Enter time as HH:MM (e.g. 09:30) or leave blank" sqref="P165">
      <formula1>OR(P165="",AND(LEN(P165)=5,MID(P165,3,1)=":",ISNUMBER(VALUE(LEFT(P165,2))),ISNUMBER(VALUE(RIGHT(P165,2))),VALUE(LEFT(P165,2))&lt;=23,VALUE(RIGHT(P165,2))&lt;=59))</formula1>
    </dataValidation>
    <dataValidation type="custom" showErrorMessage="1" errorStyle="stop" errorTitle="Invalid Time" error="Enter time as HH:MM (e.g. 09:30) or leave blank" sqref="P166">
      <formula1>OR(P166="",AND(LEN(P166)=5,MID(P166,3,1)=":",ISNUMBER(VALUE(LEFT(P166,2))),ISNUMBER(VALUE(RIGHT(P166,2))),VALUE(LEFT(P166,2))&lt;=23,VALUE(RIGHT(P166,2))&lt;=59))</formula1>
    </dataValidation>
    <dataValidation type="custom" showErrorMessage="1" errorStyle="stop" errorTitle="Invalid Time" error="Enter time as HH:MM (e.g. 09:30) or leave blank" sqref="P167">
      <formula1>OR(P167="",AND(LEN(P167)=5,MID(P167,3,1)=":",ISNUMBER(VALUE(LEFT(P167,2))),ISNUMBER(VALUE(RIGHT(P167,2))),VALUE(LEFT(P167,2))&lt;=23,VALUE(RIGHT(P167,2))&lt;=59))</formula1>
    </dataValidation>
    <dataValidation type="custom" showErrorMessage="1" errorStyle="stop" errorTitle="Invalid Time" error="Enter time as HH:MM (e.g. 09:30) or leave blank" sqref="P168">
      <formula1>OR(P168="",AND(LEN(P168)=5,MID(P168,3,1)=":",ISNUMBER(VALUE(LEFT(P168,2))),ISNUMBER(VALUE(RIGHT(P168,2))),VALUE(LEFT(P168,2))&lt;=23,VALUE(RIGHT(P168,2))&lt;=59))</formula1>
    </dataValidation>
    <dataValidation type="custom" showErrorMessage="1" errorStyle="stop" errorTitle="Invalid Time" error="Enter time as HH:MM (e.g. 09:30) or leave blank" sqref="P169">
      <formula1>OR(P169="",AND(LEN(P169)=5,MID(P169,3,1)=":",ISNUMBER(VALUE(LEFT(P169,2))),ISNUMBER(VALUE(RIGHT(P169,2))),VALUE(LEFT(P169,2))&lt;=23,VALUE(RIGHT(P169,2))&lt;=59))</formula1>
    </dataValidation>
    <dataValidation type="custom" showErrorMessage="1" errorStyle="stop" errorTitle="Invalid Time" error="Enter time as HH:MM (e.g. 09:30) or leave blank" sqref="P17">
      <formula1>OR(P17="",AND(LEN(P17)=5,MID(P17,3,1)=":",ISNUMBER(VALUE(LEFT(P17,2))),ISNUMBER(VALUE(RIGHT(P17,2))),VALUE(LEFT(P17,2))&lt;=23,VALUE(RIGHT(P17,2))&lt;=59))</formula1>
    </dataValidation>
    <dataValidation type="custom" showErrorMessage="1" errorStyle="stop" errorTitle="Invalid Time" error="Enter time as HH:MM (e.g. 09:30) or leave blank" sqref="P170">
      <formula1>OR(P170="",AND(LEN(P170)=5,MID(P170,3,1)=":",ISNUMBER(VALUE(LEFT(P170,2))),ISNUMBER(VALUE(RIGHT(P170,2))),VALUE(LEFT(P170,2))&lt;=23,VALUE(RIGHT(P170,2))&lt;=59))</formula1>
    </dataValidation>
    <dataValidation type="custom" showErrorMessage="1" errorStyle="stop" errorTitle="Invalid Time" error="Enter time as HH:MM (e.g. 09:30) or leave blank" sqref="P171">
      <formula1>OR(P171="",AND(LEN(P171)=5,MID(P171,3,1)=":",ISNUMBER(VALUE(LEFT(P171,2))),ISNUMBER(VALUE(RIGHT(P171,2))),VALUE(LEFT(P171,2))&lt;=23,VALUE(RIGHT(P171,2))&lt;=59))</formula1>
    </dataValidation>
    <dataValidation type="custom" showErrorMessage="1" errorStyle="stop" errorTitle="Invalid Time" error="Enter time as HH:MM (e.g. 09:30) or leave blank" sqref="P172">
      <formula1>OR(P172="",AND(LEN(P172)=5,MID(P172,3,1)=":",ISNUMBER(VALUE(LEFT(P172,2))),ISNUMBER(VALUE(RIGHT(P172,2))),VALUE(LEFT(P172,2))&lt;=23,VALUE(RIGHT(P172,2))&lt;=59))</formula1>
    </dataValidation>
    <dataValidation type="custom" showErrorMessage="1" errorStyle="stop" errorTitle="Invalid Time" error="Enter time as HH:MM (e.g. 09:30) or leave blank" sqref="P173">
      <formula1>OR(P173="",AND(LEN(P173)=5,MID(P173,3,1)=":",ISNUMBER(VALUE(LEFT(P173,2))),ISNUMBER(VALUE(RIGHT(P173,2))),VALUE(LEFT(P173,2))&lt;=23,VALUE(RIGHT(P173,2))&lt;=59))</formula1>
    </dataValidation>
    <dataValidation type="custom" showErrorMessage="1" errorStyle="stop" errorTitle="Invalid Time" error="Enter time as HH:MM (e.g. 09:30) or leave blank" sqref="P174">
      <formula1>OR(P174="",AND(LEN(P174)=5,MID(P174,3,1)=":",ISNUMBER(VALUE(LEFT(P174,2))),ISNUMBER(VALUE(RIGHT(P174,2))),VALUE(LEFT(P174,2))&lt;=23,VALUE(RIGHT(P174,2))&lt;=59))</formula1>
    </dataValidation>
    <dataValidation type="custom" showErrorMessage="1" errorStyle="stop" errorTitle="Invalid Time" error="Enter time as HH:MM (e.g. 09:30) or leave blank" sqref="P175">
      <formula1>OR(P175="",AND(LEN(P175)=5,MID(P175,3,1)=":",ISNUMBER(VALUE(LEFT(P175,2))),ISNUMBER(VALUE(RIGHT(P175,2))),VALUE(LEFT(P175,2))&lt;=23,VALUE(RIGHT(P175,2))&lt;=59))</formula1>
    </dataValidation>
    <dataValidation type="custom" showErrorMessage="1" errorStyle="stop" errorTitle="Invalid Time" error="Enter time as HH:MM (e.g. 09:30) or leave blank" sqref="P176">
      <formula1>OR(P176="",AND(LEN(P176)=5,MID(P176,3,1)=":",ISNUMBER(VALUE(LEFT(P176,2))),ISNUMBER(VALUE(RIGHT(P176,2))),VALUE(LEFT(P176,2))&lt;=23,VALUE(RIGHT(P176,2))&lt;=59))</formula1>
    </dataValidation>
    <dataValidation type="custom" showErrorMessage="1" errorStyle="stop" errorTitle="Invalid Time" error="Enter time as HH:MM (e.g. 09:30) or leave blank" sqref="P177">
      <formula1>OR(P177="",AND(LEN(P177)=5,MID(P177,3,1)=":",ISNUMBER(VALUE(LEFT(P177,2))),ISNUMBER(VALUE(RIGHT(P177,2))),VALUE(LEFT(P177,2))&lt;=23,VALUE(RIGHT(P177,2))&lt;=59))</formula1>
    </dataValidation>
    <dataValidation type="custom" showErrorMessage="1" errorStyle="stop" errorTitle="Invalid Time" error="Enter time as HH:MM (e.g. 09:30) or leave blank" sqref="P178">
      <formula1>OR(P178="",AND(LEN(P178)=5,MID(P178,3,1)=":",ISNUMBER(VALUE(LEFT(P178,2))),ISNUMBER(VALUE(RIGHT(P178,2))),VALUE(LEFT(P178,2))&lt;=23,VALUE(RIGHT(P178,2))&lt;=59))</formula1>
    </dataValidation>
    <dataValidation type="custom" showErrorMessage="1" errorStyle="stop" errorTitle="Invalid Time" error="Enter time as HH:MM (e.g. 09:30) or leave blank" sqref="P179">
      <formula1>OR(P179="",AND(LEN(P179)=5,MID(P179,3,1)=":",ISNUMBER(VALUE(LEFT(P179,2))),ISNUMBER(VALUE(RIGHT(P179,2))),VALUE(LEFT(P179,2))&lt;=23,VALUE(RIGHT(P179,2))&lt;=59))</formula1>
    </dataValidation>
    <dataValidation type="custom" showErrorMessage="1" errorStyle="stop" errorTitle="Invalid Time" error="Enter time as HH:MM (e.g. 09:30) or leave blank" sqref="P18">
      <formula1>OR(P18="",AND(LEN(P18)=5,MID(P18,3,1)=":",ISNUMBER(VALUE(LEFT(P18,2))),ISNUMBER(VALUE(RIGHT(P18,2))),VALUE(LEFT(P18,2))&lt;=23,VALUE(RIGHT(P18,2))&lt;=59))</formula1>
    </dataValidation>
    <dataValidation type="custom" showErrorMessage="1" errorStyle="stop" errorTitle="Invalid Time" error="Enter time as HH:MM (e.g. 09:30) or leave blank" sqref="P180">
      <formula1>OR(P180="",AND(LEN(P180)=5,MID(P180,3,1)=":",ISNUMBER(VALUE(LEFT(P180,2))),ISNUMBER(VALUE(RIGHT(P180,2))),VALUE(LEFT(P180,2))&lt;=23,VALUE(RIGHT(P180,2))&lt;=59))</formula1>
    </dataValidation>
    <dataValidation type="custom" showErrorMessage="1" errorStyle="stop" errorTitle="Invalid Time" error="Enter time as HH:MM (e.g. 09:30) or leave blank" sqref="P181">
      <formula1>OR(P181="",AND(LEN(P181)=5,MID(P181,3,1)=":",ISNUMBER(VALUE(LEFT(P181,2))),ISNUMBER(VALUE(RIGHT(P181,2))),VALUE(LEFT(P181,2))&lt;=23,VALUE(RIGHT(P181,2))&lt;=59))</formula1>
    </dataValidation>
    <dataValidation type="custom" showErrorMessage="1" errorStyle="stop" errorTitle="Invalid Time" error="Enter time as HH:MM (e.g. 09:30) or leave blank" sqref="P182">
      <formula1>OR(P182="",AND(LEN(P182)=5,MID(P182,3,1)=":",ISNUMBER(VALUE(LEFT(P182,2))),ISNUMBER(VALUE(RIGHT(P182,2))),VALUE(LEFT(P182,2))&lt;=23,VALUE(RIGHT(P182,2))&lt;=59))</formula1>
    </dataValidation>
    <dataValidation type="custom" showErrorMessage="1" errorStyle="stop" errorTitle="Invalid Time" error="Enter time as HH:MM (e.g. 09:30) or leave blank" sqref="P183">
      <formula1>OR(P183="",AND(LEN(P183)=5,MID(P183,3,1)=":",ISNUMBER(VALUE(LEFT(P183,2))),ISNUMBER(VALUE(RIGHT(P183,2))),VALUE(LEFT(P183,2))&lt;=23,VALUE(RIGHT(P183,2))&lt;=59))</formula1>
    </dataValidation>
    <dataValidation type="custom" showErrorMessage="1" errorStyle="stop" errorTitle="Invalid Time" error="Enter time as HH:MM (e.g. 09:30) or leave blank" sqref="P184">
      <formula1>OR(P184="",AND(LEN(P184)=5,MID(P184,3,1)=":",ISNUMBER(VALUE(LEFT(P184,2))),ISNUMBER(VALUE(RIGHT(P184,2))),VALUE(LEFT(P184,2))&lt;=23,VALUE(RIGHT(P184,2))&lt;=59))</formula1>
    </dataValidation>
    <dataValidation type="custom" showErrorMessage="1" errorStyle="stop" errorTitle="Invalid Time" error="Enter time as HH:MM (e.g. 09:30) or leave blank" sqref="P185">
      <formula1>OR(P185="",AND(LEN(P185)=5,MID(P185,3,1)=":",ISNUMBER(VALUE(LEFT(P185,2))),ISNUMBER(VALUE(RIGHT(P185,2))),VALUE(LEFT(P185,2))&lt;=23,VALUE(RIGHT(P185,2))&lt;=59))</formula1>
    </dataValidation>
    <dataValidation type="custom" showErrorMessage="1" errorStyle="stop" errorTitle="Invalid Time" error="Enter time as HH:MM (e.g. 09:30) or leave blank" sqref="P186">
      <formula1>OR(P186="",AND(LEN(P186)=5,MID(P186,3,1)=":",ISNUMBER(VALUE(LEFT(P186,2))),ISNUMBER(VALUE(RIGHT(P186,2))),VALUE(LEFT(P186,2))&lt;=23,VALUE(RIGHT(P186,2))&lt;=59))</formula1>
    </dataValidation>
    <dataValidation type="custom" showErrorMessage="1" errorStyle="stop" errorTitle="Invalid Time" error="Enter time as HH:MM (e.g. 09:30) or leave blank" sqref="P187">
      <formula1>OR(P187="",AND(LEN(P187)=5,MID(P187,3,1)=":",ISNUMBER(VALUE(LEFT(P187,2))),ISNUMBER(VALUE(RIGHT(P187,2))),VALUE(LEFT(P187,2))&lt;=23,VALUE(RIGHT(P187,2))&lt;=59))</formula1>
    </dataValidation>
    <dataValidation type="custom" showErrorMessage="1" errorStyle="stop" errorTitle="Invalid Time" error="Enter time as HH:MM (e.g. 09:30) or leave blank" sqref="P188">
      <formula1>OR(P188="",AND(LEN(P188)=5,MID(P188,3,1)=":",ISNUMBER(VALUE(LEFT(P188,2))),ISNUMBER(VALUE(RIGHT(P188,2))),VALUE(LEFT(P188,2))&lt;=23,VALUE(RIGHT(P188,2))&lt;=59))</formula1>
    </dataValidation>
    <dataValidation type="custom" showErrorMessage="1" errorStyle="stop" errorTitle="Invalid Time" error="Enter time as HH:MM (e.g. 09:30) or leave blank" sqref="P189">
      <formula1>OR(P189="",AND(LEN(P189)=5,MID(P189,3,1)=":",ISNUMBER(VALUE(LEFT(P189,2))),ISNUMBER(VALUE(RIGHT(P189,2))),VALUE(LEFT(P189,2))&lt;=23,VALUE(RIGHT(P189,2))&lt;=59))</formula1>
    </dataValidation>
    <dataValidation type="custom" showErrorMessage="1" errorStyle="stop" errorTitle="Invalid Time" error="Enter time as HH:MM (e.g. 09:30) or leave blank" sqref="P19">
      <formula1>OR(P19="",AND(LEN(P19)=5,MID(P19,3,1)=":",ISNUMBER(VALUE(LEFT(P19,2))),ISNUMBER(VALUE(RIGHT(P19,2))),VALUE(LEFT(P19,2))&lt;=23,VALUE(RIGHT(P19,2))&lt;=59))</formula1>
    </dataValidation>
    <dataValidation type="custom" showErrorMessage="1" errorStyle="stop" errorTitle="Invalid Time" error="Enter time as HH:MM (e.g. 09:30) or leave blank" sqref="P190">
      <formula1>OR(P190="",AND(LEN(P190)=5,MID(P190,3,1)=":",ISNUMBER(VALUE(LEFT(P190,2))),ISNUMBER(VALUE(RIGHT(P190,2))),VALUE(LEFT(P190,2))&lt;=23,VALUE(RIGHT(P190,2))&lt;=59))</formula1>
    </dataValidation>
    <dataValidation type="custom" showErrorMessage="1" errorStyle="stop" errorTitle="Invalid Time" error="Enter time as HH:MM (e.g. 09:30) or leave blank" sqref="P191">
      <formula1>OR(P191="",AND(LEN(P191)=5,MID(P191,3,1)=":",ISNUMBER(VALUE(LEFT(P191,2))),ISNUMBER(VALUE(RIGHT(P191,2))),VALUE(LEFT(P191,2))&lt;=23,VALUE(RIGHT(P191,2))&lt;=59))</formula1>
    </dataValidation>
    <dataValidation type="custom" showErrorMessage="1" errorStyle="stop" errorTitle="Invalid Time" error="Enter time as HH:MM (e.g. 09:30) or leave blank" sqref="P192">
      <formula1>OR(P192="",AND(LEN(P192)=5,MID(P192,3,1)=":",ISNUMBER(VALUE(LEFT(P192,2))),ISNUMBER(VALUE(RIGHT(P192,2))),VALUE(LEFT(P192,2))&lt;=23,VALUE(RIGHT(P192,2))&lt;=59))</formula1>
    </dataValidation>
    <dataValidation type="custom" showErrorMessage="1" errorStyle="stop" errorTitle="Invalid Time" error="Enter time as HH:MM (e.g. 09:30) or leave blank" sqref="P193">
      <formula1>OR(P193="",AND(LEN(P193)=5,MID(P193,3,1)=":",ISNUMBER(VALUE(LEFT(P193,2))),ISNUMBER(VALUE(RIGHT(P193,2))),VALUE(LEFT(P193,2))&lt;=23,VALUE(RIGHT(P193,2))&lt;=59))</formula1>
    </dataValidation>
    <dataValidation type="custom" showErrorMessage="1" errorStyle="stop" errorTitle="Invalid Time" error="Enter time as HH:MM (e.g. 09:30) or leave blank" sqref="P194">
      <formula1>OR(P194="",AND(LEN(P194)=5,MID(P194,3,1)=":",ISNUMBER(VALUE(LEFT(P194,2))),ISNUMBER(VALUE(RIGHT(P194,2))),VALUE(LEFT(P194,2))&lt;=23,VALUE(RIGHT(P194,2))&lt;=59))</formula1>
    </dataValidation>
    <dataValidation type="custom" showErrorMessage="1" errorStyle="stop" errorTitle="Invalid Time" error="Enter time as HH:MM (e.g. 09:30) or leave blank" sqref="P195">
      <formula1>OR(P195="",AND(LEN(P195)=5,MID(P195,3,1)=":",ISNUMBER(VALUE(LEFT(P195,2))),ISNUMBER(VALUE(RIGHT(P195,2))),VALUE(LEFT(P195,2))&lt;=23,VALUE(RIGHT(P195,2))&lt;=59))</formula1>
    </dataValidation>
    <dataValidation type="custom" showErrorMessage="1" errorStyle="stop" errorTitle="Invalid Time" error="Enter time as HH:MM (e.g. 09:30) or leave blank" sqref="P196">
      <formula1>OR(P196="",AND(LEN(P196)=5,MID(P196,3,1)=":",ISNUMBER(VALUE(LEFT(P196,2))),ISNUMBER(VALUE(RIGHT(P196,2))),VALUE(LEFT(P196,2))&lt;=23,VALUE(RIGHT(P196,2))&lt;=59))</formula1>
    </dataValidation>
    <dataValidation type="custom" showErrorMessage="1" errorStyle="stop" errorTitle="Invalid Time" error="Enter time as HH:MM (e.g. 09:30) or leave blank" sqref="P197">
      <formula1>OR(P197="",AND(LEN(P197)=5,MID(P197,3,1)=":",ISNUMBER(VALUE(LEFT(P197,2))),ISNUMBER(VALUE(RIGHT(P197,2))),VALUE(LEFT(P197,2))&lt;=23,VALUE(RIGHT(P197,2))&lt;=59))</formula1>
    </dataValidation>
    <dataValidation type="custom" showErrorMessage="1" errorStyle="stop" errorTitle="Invalid Time" error="Enter time as HH:MM (e.g. 09:30) or leave blank" sqref="P198">
      <formula1>OR(P198="",AND(LEN(P198)=5,MID(P198,3,1)=":",ISNUMBER(VALUE(LEFT(P198,2))),ISNUMBER(VALUE(RIGHT(P198,2))),VALUE(LEFT(P198,2))&lt;=23,VALUE(RIGHT(P198,2))&lt;=59))</formula1>
    </dataValidation>
    <dataValidation type="custom" showErrorMessage="1" errorStyle="stop" errorTitle="Invalid Time" error="Enter time as HH:MM (e.g. 09:30) or leave blank" sqref="P199">
      <formula1>OR(P199="",AND(LEN(P199)=5,MID(P199,3,1)=":",ISNUMBER(VALUE(LEFT(P199,2))),ISNUMBER(VALUE(RIGHT(P199,2))),VALUE(LEFT(P199,2))&lt;=23,VALUE(RIGHT(P199,2))&lt;=59))</formula1>
    </dataValidation>
    <dataValidation type="custom" showErrorMessage="1" errorStyle="stop" errorTitle="Invalid Time" error="Enter time as HH:MM (e.g. 09:30) or leave blank" sqref="P20">
      <formula1>OR(P20="",AND(LEN(P20)=5,MID(P20,3,1)=":",ISNUMBER(VALUE(LEFT(P20,2))),ISNUMBER(VALUE(RIGHT(P20,2))),VALUE(LEFT(P20,2))&lt;=23,VALUE(RIGHT(P20,2))&lt;=59))</formula1>
    </dataValidation>
    <dataValidation type="custom" showErrorMessage="1" errorStyle="stop" errorTitle="Invalid Time" error="Enter time as HH:MM (e.g. 09:30) or leave blank" sqref="P200">
      <formula1>OR(P200="",AND(LEN(P200)=5,MID(P200,3,1)=":",ISNUMBER(VALUE(LEFT(P200,2))),ISNUMBER(VALUE(RIGHT(P200,2))),VALUE(LEFT(P200,2))&lt;=23,VALUE(RIGHT(P200,2))&lt;=59))</formula1>
    </dataValidation>
    <dataValidation type="custom" showErrorMessage="1" errorStyle="stop" errorTitle="Invalid Time" error="Enter time as HH:MM (e.g. 09:30) or leave blank" sqref="P201">
      <formula1>OR(P201="",AND(LEN(P201)=5,MID(P201,3,1)=":",ISNUMBER(VALUE(LEFT(P201,2))),ISNUMBER(VALUE(RIGHT(P201,2))),VALUE(LEFT(P201,2))&lt;=23,VALUE(RIGHT(P201,2))&lt;=59))</formula1>
    </dataValidation>
    <dataValidation type="custom" showErrorMessage="1" errorStyle="stop" errorTitle="Invalid Time" error="Enter time as HH:MM (e.g. 09:30) or leave blank" sqref="P202">
      <formula1>OR(P202="",AND(LEN(P202)=5,MID(P202,3,1)=":",ISNUMBER(VALUE(LEFT(P202,2))),ISNUMBER(VALUE(RIGHT(P202,2))),VALUE(LEFT(P202,2))&lt;=23,VALUE(RIGHT(P202,2))&lt;=59))</formula1>
    </dataValidation>
    <dataValidation type="custom" showErrorMessage="1" errorStyle="stop" errorTitle="Invalid Time" error="Enter time as HH:MM (e.g. 09:30) or leave blank" sqref="P203">
      <formula1>OR(P203="",AND(LEN(P203)=5,MID(P203,3,1)=":",ISNUMBER(VALUE(LEFT(P203,2))),ISNUMBER(VALUE(RIGHT(P203,2))),VALUE(LEFT(P203,2))&lt;=23,VALUE(RIGHT(P203,2))&lt;=59))</formula1>
    </dataValidation>
    <dataValidation type="custom" showErrorMessage="1" errorStyle="stop" errorTitle="Invalid Time" error="Enter time as HH:MM (e.g. 09:30) or leave blank" sqref="P204">
      <formula1>OR(P204="",AND(LEN(P204)=5,MID(P204,3,1)=":",ISNUMBER(VALUE(LEFT(P204,2))),ISNUMBER(VALUE(RIGHT(P204,2))),VALUE(LEFT(P204,2))&lt;=23,VALUE(RIGHT(P204,2))&lt;=59))</formula1>
    </dataValidation>
    <dataValidation type="custom" showErrorMessage="1" errorStyle="stop" errorTitle="Invalid Time" error="Enter time as HH:MM (e.g. 09:30) or leave blank" sqref="P205">
      <formula1>OR(P205="",AND(LEN(P205)=5,MID(P205,3,1)=":",ISNUMBER(VALUE(LEFT(P205,2))),ISNUMBER(VALUE(RIGHT(P205,2))),VALUE(LEFT(P205,2))&lt;=23,VALUE(RIGHT(P205,2))&lt;=59))</formula1>
    </dataValidation>
    <dataValidation type="custom" showErrorMessage="1" errorStyle="stop" errorTitle="Invalid Time" error="Enter time as HH:MM (e.g. 09:30) or leave blank" sqref="P206">
      <formula1>OR(P206="",AND(LEN(P206)=5,MID(P206,3,1)=":",ISNUMBER(VALUE(LEFT(P206,2))),ISNUMBER(VALUE(RIGHT(P206,2))),VALUE(LEFT(P206,2))&lt;=23,VALUE(RIGHT(P206,2))&lt;=59))</formula1>
    </dataValidation>
    <dataValidation type="custom" showErrorMessage="1" errorStyle="stop" errorTitle="Invalid Time" error="Enter time as HH:MM (e.g. 09:30) or leave blank" sqref="P207">
      <formula1>OR(P207="",AND(LEN(P207)=5,MID(P207,3,1)=":",ISNUMBER(VALUE(LEFT(P207,2))),ISNUMBER(VALUE(RIGHT(P207,2))),VALUE(LEFT(P207,2))&lt;=23,VALUE(RIGHT(P207,2))&lt;=59))</formula1>
    </dataValidation>
    <dataValidation type="custom" showErrorMessage="1" errorStyle="stop" errorTitle="Invalid Time" error="Enter time as HH:MM (e.g. 09:30) or leave blank" sqref="P208">
      <formula1>OR(P208="",AND(LEN(P208)=5,MID(P208,3,1)=":",ISNUMBER(VALUE(LEFT(P208,2))),ISNUMBER(VALUE(RIGHT(P208,2))),VALUE(LEFT(P208,2))&lt;=23,VALUE(RIGHT(P208,2))&lt;=59))</formula1>
    </dataValidation>
    <dataValidation type="custom" showErrorMessage="1" errorStyle="stop" errorTitle="Invalid Time" error="Enter time as HH:MM (e.g. 09:30) or leave blank" sqref="P209">
      <formula1>OR(P209="",AND(LEN(P209)=5,MID(P209,3,1)=":",ISNUMBER(VALUE(LEFT(P209,2))),ISNUMBER(VALUE(RIGHT(P209,2))),VALUE(LEFT(P209,2))&lt;=23,VALUE(RIGHT(P209,2))&lt;=59))</formula1>
    </dataValidation>
    <dataValidation type="custom" showErrorMessage="1" errorStyle="stop" errorTitle="Invalid Time" error="Enter time as HH:MM (e.g. 09:30) or leave blank" sqref="P21">
      <formula1>OR(P21="",AND(LEN(P21)=5,MID(P21,3,1)=":",ISNUMBER(VALUE(LEFT(P21,2))),ISNUMBER(VALUE(RIGHT(P21,2))),VALUE(LEFT(P21,2))&lt;=23,VALUE(RIGHT(P21,2))&lt;=59))</formula1>
    </dataValidation>
    <dataValidation type="custom" showErrorMessage="1" errorStyle="stop" errorTitle="Invalid Time" error="Enter time as HH:MM (e.g. 09:30) or leave blank" sqref="P210">
      <formula1>OR(P210="",AND(LEN(P210)=5,MID(P210,3,1)=":",ISNUMBER(VALUE(LEFT(P210,2))),ISNUMBER(VALUE(RIGHT(P210,2))),VALUE(LEFT(P210,2))&lt;=23,VALUE(RIGHT(P210,2))&lt;=59))</formula1>
    </dataValidation>
    <dataValidation type="custom" showErrorMessage="1" errorStyle="stop" errorTitle="Invalid Time" error="Enter time as HH:MM (e.g. 09:30) or leave blank" sqref="P211">
      <formula1>OR(P211="",AND(LEN(P211)=5,MID(P211,3,1)=":",ISNUMBER(VALUE(LEFT(P211,2))),ISNUMBER(VALUE(RIGHT(P211,2))),VALUE(LEFT(P211,2))&lt;=23,VALUE(RIGHT(P211,2))&lt;=59))</formula1>
    </dataValidation>
    <dataValidation type="custom" showErrorMessage="1" errorStyle="stop" errorTitle="Invalid Time" error="Enter time as HH:MM (e.g. 09:30) or leave blank" sqref="P212">
      <formula1>OR(P212="",AND(LEN(P212)=5,MID(P212,3,1)=":",ISNUMBER(VALUE(LEFT(P212,2))),ISNUMBER(VALUE(RIGHT(P212,2))),VALUE(LEFT(P212,2))&lt;=23,VALUE(RIGHT(P212,2))&lt;=59))</formula1>
    </dataValidation>
    <dataValidation type="custom" showErrorMessage="1" errorStyle="stop" errorTitle="Invalid Time" error="Enter time as HH:MM (e.g. 09:30) or leave blank" sqref="P213">
      <formula1>OR(P213="",AND(LEN(P213)=5,MID(P213,3,1)=":",ISNUMBER(VALUE(LEFT(P213,2))),ISNUMBER(VALUE(RIGHT(P213,2))),VALUE(LEFT(P213,2))&lt;=23,VALUE(RIGHT(P213,2))&lt;=59))</formula1>
    </dataValidation>
    <dataValidation type="custom" showErrorMessage="1" errorStyle="stop" errorTitle="Invalid Time" error="Enter time as HH:MM (e.g. 09:30) or leave blank" sqref="P214">
      <formula1>OR(P214="",AND(LEN(P214)=5,MID(P214,3,1)=":",ISNUMBER(VALUE(LEFT(P214,2))),ISNUMBER(VALUE(RIGHT(P214,2))),VALUE(LEFT(P214,2))&lt;=23,VALUE(RIGHT(P214,2))&lt;=59))</formula1>
    </dataValidation>
    <dataValidation type="custom" showErrorMessage="1" errorStyle="stop" errorTitle="Invalid Time" error="Enter time as HH:MM (e.g. 09:30) or leave blank" sqref="P215">
      <formula1>OR(P215="",AND(LEN(P215)=5,MID(P215,3,1)=":",ISNUMBER(VALUE(LEFT(P215,2))),ISNUMBER(VALUE(RIGHT(P215,2))),VALUE(LEFT(P215,2))&lt;=23,VALUE(RIGHT(P215,2))&lt;=59))</formula1>
    </dataValidation>
    <dataValidation type="custom" showErrorMessage="1" errorStyle="stop" errorTitle="Invalid Time" error="Enter time as HH:MM (e.g. 09:30) or leave blank" sqref="P216">
      <formula1>OR(P216="",AND(LEN(P216)=5,MID(P216,3,1)=":",ISNUMBER(VALUE(LEFT(P216,2))),ISNUMBER(VALUE(RIGHT(P216,2))),VALUE(LEFT(P216,2))&lt;=23,VALUE(RIGHT(P216,2))&lt;=59))</formula1>
    </dataValidation>
    <dataValidation type="custom" showErrorMessage="1" errorStyle="stop" errorTitle="Invalid Time" error="Enter time as HH:MM (e.g. 09:30) or leave blank" sqref="P217">
      <formula1>OR(P217="",AND(LEN(P217)=5,MID(P217,3,1)=":",ISNUMBER(VALUE(LEFT(P217,2))),ISNUMBER(VALUE(RIGHT(P217,2))),VALUE(LEFT(P217,2))&lt;=23,VALUE(RIGHT(P217,2))&lt;=59))</formula1>
    </dataValidation>
    <dataValidation type="custom" showErrorMessage="1" errorStyle="stop" errorTitle="Invalid Time" error="Enter time as HH:MM (e.g. 09:30) or leave blank" sqref="P218">
      <formula1>OR(P218="",AND(LEN(P218)=5,MID(P218,3,1)=":",ISNUMBER(VALUE(LEFT(P218,2))),ISNUMBER(VALUE(RIGHT(P218,2))),VALUE(LEFT(P218,2))&lt;=23,VALUE(RIGHT(P218,2))&lt;=59))</formula1>
    </dataValidation>
    <dataValidation type="custom" showErrorMessage="1" errorStyle="stop" errorTitle="Invalid Time" error="Enter time as HH:MM (e.g. 09:30) or leave blank" sqref="P219">
      <formula1>OR(P219="",AND(LEN(P219)=5,MID(P219,3,1)=":",ISNUMBER(VALUE(LEFT(P219,2))),ISNUMBER(VALUE(RIGHT(P219,2))),VALUE(LEFT(P219,2))&lt;=23,VALUE(RIGHT(P219,2))&lt;=59))</formula1>
    </dataValidation>
    <dataValidation type="custom" showErrorMessage="1" errorStyle="stop" errorTitle="Invalid Time" error="Enter time as HH:MM (e.g. 09:30) or leave blank" sqref="P22">
      <formula1>OR(P22="",AND(LEN(P22)=5,MID(P22,3,1)=":",ISNUMBER(VALUE(LEFT(P22,2))),ISNUMBER(VALUE(RIGHT(P22,2))),VALUE(LEFT(P22,2))&lt;=23,VALUE(RIGHT(P22,2))&lt;=59))</formula1>
    </dataValidation>
    <dataValidation type="custom" showErrorMessage="1" errorStyle="stop" errorTitle="Invalid Time" error="Enter time as HH:MM (e.g. 09:30) or leave blank" sqref="P220">
      <formula1>OR(P220="",AND(LEN(P220)=5,MID(P220,3,1)=":",ISNUMBER(VALUE(LEFT(P220,2))),ISNUMBER(VALUE(RIGHT(P220,2))),VALUE(LEFT(P220,2))&lt;=23,VALUE(RIGHT(P220,2))&lt;=59))</formula1>
    </dataValidation>
    <dataValidation type="custom" showErrorMessage="1" errorStyle="stop" errorTitle="Invalid Time" error="Enter time as HH:MM (e.g. 09:30) or leave blank" sqref="P221">
      <formula1>OR(P221="",AND(LEN(P221)=5,MID(P221,3,1)=":",ISNUMBER(VALUE(LEFT(P221,2))),ISNUMBER(VALUE(RIGHT(P221,2))),VALUE(LEFT(P221,2))&lt;=23,VALUE(RIGHT(P221,2))&lt;=59))</formula1>
    </dataValidation>
    <dataValidation type="custom" showErrorMessage="1" errorStyle="stop" errorTitle="Invalid Time" error="Enter time as HH:MM (e.g. 09:30) or leave blank" sqref="P222">
      <formula1>OR(P222="",AND(LEN(P222)=5,MID(P222,3,1)=":",ISNUMBER(VALUE(LEFT(P222,2))),ISNUMBER(VALUE(RIGHT(P222,2))),VALUE(LEFT(P222,2))&lt;=23,VALUE(RIGHT(P222,2))&lt;=59))</formula1>
    </dataValidation>
    <dataValidation type="custom" showErrorMessage="1" errorStyle="stop" errorTitle="Invalid Time" error="Enter time as HH:MM (e.g. 09:30) or leave blank" sqref="P223">
      <formula1>OR(P223="",AND(LEN(P223)=5,MID(P223,3,1)=":",ISNUMBER(VALUE(LEFT(P223,2))),ISNUMBER(VALUE(RIGHT(P223,2))),VALUE(LEFT(P223,2))&lt;=23,VALUE(RIGHT(P223,2))&lt;=59))</formula1>
    </dataValidation>
    <dataValidation type="custom" showErrorMessage="1" errorStyle="stop" errorTitle="Invalid Time" error="Enter time as HH:MM (e.g. 09:30) or leave blank" sqref="P224">
      <formula1>OR(P224="",AND(LEN(P224)=5,MID(P224,3,1)=":",ISNUMBER(VALUE(LEFT(P224,2))),ISNUMBER(VALUE(RIGHT(P224,2))),VALUE(LEFT(P224,2))&lt;=23,VALUE(RIGHT(P224,2))&lt;=59))</formula1>
    </dataValidation>
    <dataValidation type="custom" showErrorMessage="1" errorStyle="stop" errorTitle="Invalid Time" error="Enter time as HH:MM (e.g. 09:30) or leave blank" sqref="P225">
      <formula1>OR(P225="",AND(LEN(P225)=5,MID(P225,3,1)=":",ISNUMBER(VALUE(LEFT(P225,2))),ISNUMBER(VALUE(RIGHT(P225,2))),VALUE(LEFT(P225,2))&lt;=23,VALUE(RIGHT(P225,2))&lt;=59))</formula1>
    </dataValidation>
    <dataValidation type="custom" showErrorMessage="1" errorStyle="stop" errorTitle="Invalid Time" error="Enter time as HH:MM (e.g. 09:30) or leave blank" sqref="P226">
      <formula1>OR(P226="",AND(LEN(P226)=5,MID(P226,3,1)=":",ISNUMBER(VALUE(LEFT(P226,2))),ISNUMBER(VALUE(RIGHT(P226,2))),VALUE(LEFT(P226,2))&lt;=23,VALUE(RIGHT(P226,2))&lt;=59))</formula1>
    </dataValidation>
    <dataValidation type="custom" showErrorMessage="1" errorStyle="stop" errorTitle="Invalid Time" error="Enter time as HH:MM (e.g. 09:30) or leave blank" sqref="P227">
      <formula1>OR(P227="",AND(LEN(P227)=5,MID(P227,3,1)=":",ISNUMBER(VALUE(LEFT(P227,2))),ISNUMBER(VALUE(RIGHT(P227,2))),VALUE(LEFT(P227,2))&lt;=23,VALUE(RIGHT(P227,2))&lt;=59))</formula1>
    </dataValidation>
    <dataValidation type="custom" showErrorMessage="1" errorStyle="stop" errorTitle="Invalid Time" error="Enter time as HH:MM (e.g. 09:30) or leave blank" sqref="P228">
      <formula1>OR(P228="",AND(LEN(P228)=5,MID(P228,3,1)=":",ISNUMBER(VALUE(LEFT(P228,2))),ISNUMBER(VALUE(RIGHT(P228,2))),VALUE(LEFT(P228,2))&lt;=23,VALUE(RIGHT(P228,2))&lt;=59))</formula1>
    </dataValidation>
    <dataValidation type="custom" showErrorMessage="1" errorStyle="stop" errorTitle="Invalid Time" error="Enter time as HH:MM (e.g. 09:30) or leave blank" sqref="P229">
      <formula1>OR(P229="",AND(LEN(P229)=5,MID(P229,3,1)=":",ISNUMBER(VALUE(LEFT(P229,2))),ISNUMBER(VALUE(RIGHT(P229,2))),VALUE(LEFT(P229,2))&lt;=23,VALUE(RIGHT(P229,2))&lt;=59))</formula1>
    </dataValidation>
    <dataValidation type="custom" showErrorMessage="1" errorStyle="stop" errorTitle="Invalid Time" error="Enter time as HH:MM (e.g. 09:30) or leave blank" sqref="P23">
      <formula1>OR(P23="",AND(LEN(P23)=5,MID(P23,3,1)=":",ISNUMBER(VALUE(LEFT(P23,2))),ISNUMBER(VALUE(RIGHT(P23,2))),VALUE(LEFT(P23,2))&lt;=23,VALUE(RIGHT(P23,2))&lt;=59))</formula1>
    </dataValidation>
    <dataValidation type="custom" showErrorMessage="1" errorStyle="stop" errorTitle="Invalid Time" error="Enter time as HH:MM (e.g. 09:30) or leave blank" sqref="P230">
      <formula1>OR(P230="",AND(LEN(P230)=5,MID(P230,3,1)=":",ISNUMBER(VALUE(LEFT(P230,2))),ISNUMBER(VALUE(RIGHT(P230,2))),VALUE(LEFT(P230,2))&lt;=23,VALUE(RIGHT(P230,2))&lt;=59))</formula1>
    </dataValidation>
    <dataValidation type="custom" showErrorMessage="1" errorStyle="stop" errorTitle="Invalid Time" error="Enter time as HH:MM (e.g. 09:30) or leave blank" sqref="P231">
      <formula1>OR(P231="",AND(LEN(P231)=5,MID(P231,3,1)=":",ISNUMBER(VALUE(LEFT(P231,2))),ISNUMBER(VALUE(RIGHT(P231,2))),VALUE(LEFT(P231,2))&lt;=23,VALUE(RIGHT(P231,2))&lt;=59))</formula1>
    </dataValidation>
    <dataValidation type="custom" showErrorMessage="1" errorStyle="stop" errorTitle="Invalid Time" error="Enter time as HH:MM (e.g. 09:30) or leave blank" sqref="P232">
      <formula1>OR(P232="",AND(LEN(P232)=5,MID(P232,3,1)=":",ISNUMBER(VALUE(LEFT(P232,2))),ISNUMBER(VALUE(RIGHT(P232,2))),VALUE(LEFT(P232,2))&lt;=23,VALUE(RIGHT(P232,2))&lt;=59))</formula1>
    </dataValidation>
    <dataValidation type="custom" showErrorMessage="1" errorStyle="stop" errorTitle="Invalid Time" error="Enter time as HH:MM (e.g. 09:30) or leave blank" sqref="P233">
      <formula1>OR(P233="",AND(LEN(P233)=5,MID(P233,3,1)=":",ISNUMBER(VALUE(LEFT(P233,2))),ISNUMBER(VALUE(RIGHT(P233,2))),VALUE(LEFT(P233,2))&lt;=23,VALUE(RIGHT(P233,2))&lt;=59))</formula1>
    </dataValidation>
    <dataValidation type="custom" showErrorMessage="1" errorStyle="stop" errorTitle="Invalid Time" error="Enter time as HH:MM (e.g. 09:30) or leave blank" sqref="P234">
      <formula1>OR(P234="",AND(LEN(P234)=5,MID(P234,3,1)=":",ISNUMBER(VALUE(LEFT(P234,2))),ISNUMBER(VALUE(RIGHT(P234,2))),VALUE(LEFT(P234,2))&lt;=23,VALUE(RIGHT(P234,2))&lt;=59))</formula1>
    </dataValidation>
    <dataValidation type="custom" showErrorMessage="1" errorStyle="stop" errorTitle="Invalid Time" error="Enter time as HH:MM (e.g. 09:30) or leave blank" sqref="P235">
      <formula1>OR(P235="",AND(LEN(P235)=5,MID(P235,3,1)=":",ISNUMBER(VALUE(LEFT(P235,2))),ISNUMBER(VALUE(RIGHT(P235,2))),VALUE(LEFT(P235,2))&lt;=23,VALUE(RIGHT(P235,2))&lt;=59))</formula1>
    </dataValidation>
    <dataValidation type="custom" showErrorMessage="1" errorStyle="stop" errorTitle="Invalid Time" error="Enter time as HH:MM (e.g. 09:30) or leave blank" sqref="P236">
      <formula1>OR(P236="",AND(LEN(P236)=5,MID(P236,3,1)=":",ISNUMBER(VALUE(LEFT(P236,2))),ISNUMBER(VALUE(RIGHT(P236,2))),VALUE(LEFT(P236,2))&lt;=23,VALUE(RIGHT(P236,2))&lt;=59))</formula1>
    </dataValidation>
    <dataValidation type="custom" showErrorMessage="1" errorStyle="stop" errorTitle="Invalid Time" error="Enter time as HH:MM (e.g. 09:30) or leave blank" sqref="P237">
      <formula1>OR(P237="",AND(LEN(P237)=5,MID(P237,3,1)=":",ISNUMBER(VALUE(LEFT(P237,2))),ISNUMBER(VALUE(RIGHT(P237,2))),VALUE(LEFT(P237,2))&lt;=23,VALUE(RIGHT(P237,2))&lt;=59))</formula1>
    </dataValidation>
    <dataValidation type="custom" showErrorMessage="1" errorStyle="stop" errorTitle="Invalid Time" error="Enter time as HH:MM (e.g. 09:30) or leave blank" sqref="P238">
      <formula1>OR(P238="",AND(LEN(P238)=5,MID(P238,3,1)=":",ISNUMBER(VALUE(LEFT(P238,2))),ISNUMBER(VALUE(RIGHT(P238,2))),VALUE(LEFT(P238,2))&lt;=23,VALUE(RIGHT(P238,2))&lt;=59))</formula1>
    </dataValidation>
    <dataValidation type="custom" showErrorMessage="1" errorStyle="stop" errorTitle="Invalid Time" error="Enter time as HH:MM (e.g. 09:30) or leave blank" sqref="P239">
      <formula1>OR(P239="",AND(LEN(P239)=5,MID(P239,3,1)=":",ISNUMBER(VALUE(LEFT(P239,2))),ISNUMBER(VALUE(RIGHT(P239,2))),VALUE(LEFT(P239,2))&lt;=23,VALUE(RIGHT(P239,2))&lt;=59))</formula1>
    </dataValidation>
    <dataValidation type="custom" showErrorMessage="1" errorStyle="stop" errorTitle="Invalid Time" error="Enter time as HH:MM (e.g. 09:30) or leave blank" sqref="P24">
      <formula1>OR(P24="",AND(LEN(P24)=5,MID(P24,3,1)=":",ISNUMBER(VALUE(LEFT(P24,2))),ISNUMBER(VALUE(RIGHT(P24,2))),VALUE(LEFT(P24,2))&lt;=23,VALUE(RIGHT(P24,2))&lt;=59))</formula1>
    </dataValidation>
    <dataValidation type="custom" showErrorMessage="1" errorStyle="stop" errorTitle="Invalid Time" error="Enter time as HH:MM (e.g. 09:30) or leave blank" sqref="P240">
      <formula1>OR(P240="",AND(LEN(P240)=5,MID(P240,3,1)=":",ISNUMBER(VALUE(LEFT(P240,2))),ISNUMBER(VALUE(RIGHT(P240,2))),VALUE(LEFT(P240,2))&lt;=23,VALUE(RIGHT(P240,2))&lt;=59))</formula1>
    </dataValidation>
    <dataValidation type="custom" showErrorMessage="1" errorStyle="stop" errorTitle="Invalid Time" error="Enter time as HH:MM (e.g. 09:30) or leave blank" sqref="P241">
      <formula1>OR(P241="",AND(LEN(P241)=5,MID(P241,3,1)=":",ISNUMBER(VALUE(LEFT(P241,2))),ISNUMBER(VALUE(RIGHT(P241,2))),VALUE(LEFT(P241,2))&lt;=23,VALUE(RIGHT(P241,2))&lt;=59))</formula1>
    </dataValidation>
    <dataValidation type="custom" showErrorMessage="1" errorStyle="stop" errorTitle="Invalid Time" error="Enter time as HH:MM (e.g. 09:30) or leave blank" sqref="P242">
      <formula1>OR(P242="",AND(LEN(P242)=5,MID(P242,3,1)=":",ISNUMBER(VALUE(LEFT(P242,2))),ISNUMBER(VALUE(RIGHT(P242,2))),VALUE(LEFT(P242,2))&lt;=23,VALUE(RIGHT(P242,2))&lt;=59))</formula1>
    </dataValidation>
    <dataValidation type="custom" showErrorMessage="1" errorStyle="stop" errorTitle="Invalid Time" error="Enter time as HH:MM (e.g. 09:30) or leave blank" sqref="P243">
      <formula1>OR(P243="",AND(LEN(P243)=5,MID(P243,3,1)=":",ISNUMBER(VALUE(LEFT(P243,2))),ISNUMBER(VALUE(RIGHT(P243,2))),VALUE(LEFT(P243,2))&lt;=23,VALUE(RIGHT(P243,2))&lt;=59))</formula1>
    </dataValidation>
    <dataValidation type="custom" showErrorMessage="1" errorStyle="stop" errorTitle="Invalid Time" error="Enter time as HH:MM (e.g. 09:30) or leave blank" sqref="P244">
      <formula1>OR(P244="",AND(LEN(P244)=5,MID(P244,3,1)=":",ISNUMBER(VALUE(LEFT(P244,2))),ISNUMBER(VALUE(RIGHT(P244,2))),VALUE(LEFT(P244,2))&lt;=23,VALUE(RIGHT(P244,2))&lt;=59))</formula1>
    </dataValidation>
    <dataValidation type="custom" showErrorMessage="1" errorStyle="stop" errorTitle="Invalid Time" error="Enter time as HH:MM (e.g. 09:30) or leave blank" sqref="P245">
      <formula1>OR(P245="",AND(LEN(P245)=5,MID(P245,3,1)=":",ISNUMBER(VALUE(LEFT(P245,2))),ISNUMBER(VALUE(RIGHT(P245,2))),VALUE(LEFT(P245,2))&lt;=23,VALUE(RIGHT(P245,2))&lt;=59))</formula1>
    </dataValidation>
    <dataValidation type="custom" showErrorMessage="1" errorStyle="stop" errorTitle="Invalid Time" error="Enter time as HH:MM (e.g. 09:30) or leave blank" sqref="P246">
      <formula1>OR(P246="",AND(LEN(P246)=5,MID(P246,3,1)=":",ISNUMBER(VALUE(LEFT(P246,2))),ISNUMBER(VALUE(RIGHT(P246,2))),VALUE(LEFT(P246,2))&lt;=23,VALUE(RIGHT(P246,2))&lt;=59))</formula1>
    </dataValidation>
    <dataValidation type="custom" showErrorMessage="1" errorStyle="stop" errorTitle="Invalid Time" error="Enter time as HH:MM (e.g. 09:30) or leave blank" sqref="P247">
      <formula1>OR(P247="",AND(LEN(P247)=5,MID(P247,3,1)=":",ISNUMBER(VALUE(LEFT(P247,2))),ISNUMBER(VALUE(RIGHT(P247,2))),VALUE(LEFT(P247,2))&lt;=23,VALUE(RIGHT(P247,2))&lt;=59))</formula1>
    </dataValidation>
    <dataValidation type="custom" showErrorMessage="1" errorStyle="stop" errorTitle="Invalid Time" error="Enter time as HH:MM (e.g. 09:30) or leave blank" sqref="P248">
      <formula1>OR(P248="",AND(LEN(P248)=5,MID(P248,3,1)=":",ISNUMBER(VALUE(LEFT(P248,2))),ISNUMBER(VALUE(RIGHT(P248,2))),VALUE(LEFT(P248,2))&lt;=23,VALUE(RIGHT(P248,2))&lt;=59))</formula1>
    </dataValidation>
    <dataValidation type="custom" showErrorMessage="1" errorStyle="stop" errorTitle="Invalid Time" error="Enter time as HH:MM (e.g. 09:30) or leave blank" sqref="P249">
      <formula1>OR(P249="",AND(LEN(P249)=5,MID(P249,3,1)=":",ISNUMBER(VALUE(LEFT(P249,2))),ISNUMBER(VALUE(RIGHT(P249,2))),VALUE(LEFT(P249,2))&lt;=23,VALUE(RIGHT(P249,2))&lt;=59))</formula1>
    </dataValidation>
    <dataValidation type="custom" showErrorMessage="1" errorStyle="stop" errorTitle="Invalid Time" error="Enter time as HH:MM (e.g. 09:30) or leave blank" sqref="P25">
      <formula1>OR(P25="",AND(LEN(P25)=5,MID(P25,3,1)=":",ISNUMBER(VALUE(LEFT(P25,2))),ISNUMBER(VALUE(RIGHT(P25,2))),VALUE(LEFT(P25,2))&lt;=23,VALUE(RIGHT(P25,2))&lt;=59))</formula1>
    </dataValidation>
    <dataValidation type="custom" showErrorMessage="1" errorStyle="stop" errorTitle="Invalid Time" error="Enter time as HH:MM (e.g. 09:30) or leave blank" sqref="P250">
      <formula1>OR(P250="",AND(LEN(P250)=5,MID(P250,3,1)=":",ISNUMBER(VALUE(LEFT(P250,2))),ISNUMBER(VALUE(RIGHT(P250,2))),VALUE(LEFT(P250,2))&lt;=23,VALUE(RIGHT(P250,2))&lt;=59))</formula1>
    </dataValidation>
    <dataValidation type="custom" showErrorMessage="1" errorStyle="stop" errorTitle="Invalid Time" error="Enter time as HH:MM (e.g. 09:30) or leave blank" sqref="P251">
      <formula1>OR(P251="",AND(LEN(P251)=5,MID(P251,3,1)=":",ISNUMBER(VALUE(LEFT(P251,2))),ISNUMBER(VALUE(RIGHT(P251,2))),VALUE(LEFT(P251,2))&lt;=23,VALUE(RIGHT(P251,2))&lt;=59))</formula1>
    </dataValidation>
    <dataValidation type="custom" showErrorMessage="1" errorStyle="stop" errorTitle="Invalid Time" error="Enter time as HH:MM (e.g. 09:30) or leave blank" sqref="P252">
      <formula1>OR(P252="",AND(LEN(P252)=5,MID(P252,3,1)=":",ISNUMBER(VALUE(LEFT(P252,2))),ISNUMBER(VALUE(RIGHT(P252,2))),VALUE(LEFT(P252,2))&lt;=23,VALUE(RIGHT(P252,2))&lt;=59))</formula1>
    </dataValidation>
    <dataValidation type="custom" showErrorMessage="1" errorStyle="stop" errorTitle="Invalid Time" error="Enter time as HH:MM (e.g. 09:30) or leave blank" sqref="P253">
      <formula1>OR(P253="",AND(LEN(P253)=5,MID(P253,3,1)=":",ISNUMBER(VALUE(LEFT(P253,2))),ISNUMBER(VALUE(RIGHT(P253,2))),VALUE(LEFT(P253,2))&lt;=23,VALUE(RIGHT(P253,2))&lt;=59))</formula1>
    </dataValidation>
    <dataValidation type="custom" showErrorMessage="1" errorStyle="stop" errorTitle="Invalid Time" error="Enter time as HH:MM (e.g. 09:30) or leave blank" sqref="P254">
      <formula1>OR(P254="",AND(LEN(P254)=5,MID(P254,3,1)=":",ISNUMBER(VALUE(LEFT(P254,2))),ISNUMBER(VALUE(RIGHT(P254,2))),VALUE(LEFT(P254,2))&lt;=23,VALUE(RIGHT(P254,2))&lt;=59))</formula1>
    </dataValidation>
    <dataValidation type="custom" showErrorMessage="1" errorStyle="stop" errorTitle="Invalid Time" error="Enter time as HH:MM (e.g. 09:30) or leave blank" sqref="P255">
      <formula1>OR(P255="",AND(LEN(P255)=5,MID(P255,3,1)=":",ISNUMBER(VALUE(LEFT(P255,2))),ISNUMBER(VALUE(RIGHT(P255,2))),VALUE(LEFT(P255,2))&lt;=23,VALUE(RIGHT(P255,2))&lt;=59))</formula1>
    </dataValidation>
    <dataValidation type="custom" showErrorMessage="1" errorStyle="stop" errorTitle="Invalid Time" error="Enter time as HH:MM (e.g. 09:30) or leave blank" sqref="P256">
      <formula1>OR(P256="",AND(LEN(P256)=5,MID(P256,3,1)=":",ISNUMBER(VALUE(LEFT(P256,2))),ISNUMBER(VALUE(RIGHT(P256,2))),VALUE(LEFT(P256,2))&lt;=23,VALUE(RIGHT(P256,2))&lt;=59))</formula1>
    </dataValidation>
    <dataValidation type="custom" showErrorMessage="1" errorStyle="stop" errorTitle="Invalid Time" error="Enter time as HH:MM (e.g. 09:30) or leave blank" sqref="P257">
      <formula1>OR(P257="",AND(LEN(P257)=5,MID(P257,3,1)=":",ISNUMBER(VALUE(LEFT(P257,2))),ISNUMBER(VALUE(RIGHT(P257,2))),VALUE(LEFT(P257,2))&lt;=23,VALUE(RIGHT(P257,2))&lt;=59))</formula1>
    </dataValidation>
    <dataValidation type="custom" showErrorMessage="1" errorStyle="stop" errorTitle="Invalid Time" error="Enter time as HH:MM (e.g. 09:30) or leave blank" sqref="P258">
      <formula1>OR(P258="",AND(LEN(P258)=5,MID(P258,3,1)=":",ISNUMBER(VALUE(LEFT(P258,2))),ISNUMBER(VALUE(RIGHT(P258,2))),VALUE(LEFT(P258,2))&lt;=23,VALUE(RIGHT(P258,2))&lt;=59))</formula1>
    </dataValidation>
    <dataValidation type="custom" showErrorMessage="1" errorStyle="stop" errorTitle="Invalid Time" error="Enter time as HH:MM (e.g. 09:30) or leave blank" sqref="P259">
      <formula1>OR(P259="",AND(LEN(P259)=5,MID(P259,3,1)=":",ISNUMBER(VALUE(LEFT(P259,2))),ISNUMBER(VALUE(RIGHT(P259,2))),VALUE(LEFT(P259,2))&lt;=23,VALUE(RIGHT(P259,2))&lt;=59))</formula1>
    </dataValidation>
    <dataValidation type="custom" showErrorMessage="1" errorStyle="stop" errorTitle="Invalid Time" error="Enter time as HH:MM (e.g. 09:30) or leave blank" sqref="P26">
      <formula1>OR(P26="",AND(LEN(P26)=5,MID(P26,3,1)=":",ISNUMBER(VALUE(LEFT(P26,2))),ISNUMBER(VALUE(RIGHT(P26,2))),VALUE(LEFT(P26,2))&lt;=23,VALUE(RIGHT(P26,2))&lt;=59))</formula1>
    </dataValidation>
    <dataValidation type="custom" showErrorMessage="1" errorStyle="stop" errorTitle="Invalid Time" error="Enter time as HH:MM (e.g. 09:30) or leave blank" sqref="P260">
      <formula1>OR(P260="",AND(LEN(P260)=5,MID(P260,3,1)=":",ISNUMBER(VALUE(LEFT(P260,2))),ISNUMBER(VALUE(RIGHT(P260,2))),VALUE(LEFT(P260,2))&lt;=23,VALUE(RIGHT(P260,2))&lt;=59))</formula1>
    </dataValidation>
    <dataValidation type="custom" showErrorMessage="1" errorStyle="stop" errorTitle="Invalid Time" error="Enter time as HH:MM (e.g. 09:30) or leave blank" sqref="P261">
      <formula1>OR(P261="",AND(LEN(P261)=5,MID(P261,3,1)=":",ISNUMBER(VALUE(LEFT(P261,2))),ISNUMBER(VALUE(RIGHT(P261,2))),VALUE(LEFT(P261,2))&lt;=23,VALUE(RIGHT(P261,2))&lt;=59))</formula1>
    </dataValidation>
    <dataValidation type="custom" showErrorMessage="1" errorStyle="stop" errorTitle="Invalid Time" error="Enter time as HH:MM (e.g. 09:30) or leave blank" sqref="P262">
      <formula1>OR(P262="",AND(LEN(P262)=5,MID(P262,3,1)=":",ISNUMBER(VALUE(LEFT(P262,2))),ISNUMBER(VALUE(RIGHT(P262,2))),VALUE(LEFT(P262,2))&lt;=23,VALUE(RIGHT(P262,2))&lt;=59))</formula1>
    </dataValidation>
    <dataValidation type="custom" showErrorMessage="1" errorStyle="stop" errorTitle="Invalid Time" error="Enter time as HH:MM (e.g. 09:30) or leave blank" sqref="P263">
      <formula1>OR(P263="",AND(LEN(P263)=5,MID(P263,3,1)=":",ISNUMBER(VALUE(LEFT(P263,2))),ISNUMBER(VALUE(RIGHT(P263,2))),VALUE(LEFT(P263,2))&lt;=23,VALUE(RIGHT(P263,2))&lt;=59))</formula1>
    </dataValidation>
    <dataValidation type="custom" showErrorMessage="1" errorStyle="stop" errorTitle="Invalid Time" error="Enter time as HH:MM (e.g. 09:30) or leave blank" sqref="P264">
      <formula1>OR(P264="",AND(LEN(P264)=5,MID(P264,3,1)=":",ISNUMBER(VALUE(LEFT(P264,2))),ISNUMBER(VALUE(RIGHT(P264,2))),VALUE(LEFT(P264,2))&lt;=23,VALUE(RIGHT(P264,2))&lt;=59))</formula1>
    </dataValidation>
    <dataValidation type="custom" showErrorMessage="1" errorStyle="stop" errorTitle="Invalid Time" error="Enter time as HH:MM (e.g. 09:30) or leave blank" sqref="P265">
      <formula1>OR(P265="",AND(LEN(P265)=5,MID(P265,3,1)=":",ISNUMBER(VALUE(LEFT(P265,2))),ISNUMBER(VALUE(RIGHT(P265,2))),VALUE(LEFT(P265,2))&lt;=23,VALUE(RIGHT(P265,2))&lt;=59))</formula1>
    </dataValidation>
    <dataValidation type="custom" showErrorMessage="1" errorStyle="stop" errorTitle="Invalid Time" error="Enter time as HH:MM (e.g. 09:30) or leave blank" sqref="P266">
      <formula1>OR(P266="",AND(LEN(P266)=5,MID(P266,3,1)=":",ISNUMBER(VALUE(LEFT(P266,2))),ISNUMBER(VALUE(RIGHT(P266,2))),VALUE(LEFT(P266,2))&lt;=23,VALUE(RIGHT(P266,2))&lt;=59))</formula1>
    </dataValidation>
    <dataValidation type="custom" showErrorMessage="1" errorStyle="stop" errorTitle="Invalid Time" error="Enter time as HH:MM (e.g. 09:30) or leave blank" sqref="P267">
      <formula1>OR(P267="",AND(LEN(P267)=5,MID(P267,3,1)=":",ISNUMBER(VALUE(LEFT(P267,2))),ISNUMBER(VALUE(RIGHT(P267,2))),VALUE(LEFT(P267,2))&lt;=23,VALUE(RIGHT(P267,2))&lt;=59))</formula1>
    </dataValidation>
    <dataValidation type="custom" showErrorMessage="1" errorStyle="stop" errorTitle="Invalid Time" error="Enter time as HH:MM (e.g. 09:30) or leave blank" sqref="P268">
      <formula1>OR(P268="",AND(LEN(P268)=5,MID(P268,3,1)=":",ISNUMBER(VALUE(LEFT(P268,2))),ISNUMBER(VALUE(RIGHT(P268,2))),VALUE(LEFT(P268,2))&lt;=23,VALUE(RIGHT(P268,2))&lt;=59))</formula1>
    </dataValidation>
    <dataValidation type="custom" showErrorMessage="1" errorStyle="stop" errorTitle="Invalid Time" error="Enter time as HH:MM (e.g. 09:30) or leave blank" sqref="P269">
      <formula1>OR(P269="",AND(LEN(P269)=5,MID(P269,3,1)=":",ISNUMBER(VALUE(LEFT(P269,2))),ISNUMBER(VALUE(RIGHT(P269,2))),VALUE(LEFT(P269,2))&lt;=23,VALUE(RIGHT(P269,2))&lt;=59))</formula1>
    </dataValidation>
    <dataValidation type="custom" showErrorMessage="1" errorStyle="stop" errorTitle="Invalid Time" error="Enter time as HH:MM (e.g. 09:30) or leave blank" sqref="P27">
      <formula1>OR(P27="",AND(LEN(P27)=5,MID(P27,3,1)=":",ISNUMBER(VALUE(LEFT(P27,2))),ISNUMBER(VALUE(RIGHT(P27,2))),VALUE(LEFT(P27,2))&lt;=23,VALUE(RIGHT(P27,2))&lt;=59))</formula1>
    </dataValidation>
    <dataValidation type="custom" showErrorMessage="1" errorStyle="stop" errorTitle="Invalid Time" error="Enter time as HH:MM (e.g. 09:30) or leave blank" sqref="P270">
      <formula1>OR(P270="",AND(LEN(P270)=5,MID(P270,3,1)=":",ISNUMBER(VALUE(LEFT(P270,2))),ISNUMBER(VALUE(RIGHT(P270,2))),VALUE(LEFT(P270,2))&lt;=23,VALUE(RIGHT(P270,2))&lt;=59))</formula1>
    </dataValidation>
    <dataValidation type="custom" showErrorMessage="1" errorStyle="stop" errorTitle="Invalid Time" error="Enter time as HH:MM (e.g. 09:30) or leave blank" sqref="P271">
      <formula1>OR(P271="",AND(LEN(P271)=5,MID(P271,3,1)=":",ISNUMBER(VALUE(LEFT(P271,2))),ISNUMBER(VALUE(RIGHT(P271,2))),VALUE(LEFT(P271,2))&lt;=23,VALUE(RIGHT(P271,2))&lt;=59))</formula1>
    </dataValidation>
    <dataValidation type="custom" showErrorMessage="1" errorStyle="stop" errorTitle="Invalid Time" error="Enter time as HH:MM (e.g. 09:30) or leave blank" sqref="P272">
      <formula1>OR(P272="",AND(LEN(P272)=5,MID(P272,3,1)=":",ISNUMBER(VALUE(LEFT(P272,2))),ISNUMBER(VALUE(RIGHT(P272,2))),VALUE(LEFT(P272,2))&lt;=23,VALUE(RIGHT(P272,2))&lt;=59))</formula1>
    </dataValidation>
    <dataValidation type="custom" showErrorMessage="1" errorStyle="stop" errorTitle="Invalid Time" error="Enter time as HH:MM (e.g. 09:30) or leave blank" sqref="P273">
      <formula1>OR(P273="",AND(LEN(P273)=5,MID(P273,3,1)=":",ISNUMBER(VALUE(LEFT(P273,2))),ISNUMBER(VALUE(RIGHT(P273,2))),VALUE(LEFT(P273,2))&lt;=23,VALUE(RIGHT(P273,2))&lt;=59))</formula1>
    </dataValidation>
    <dataValidation type="custom" showErrorMessage="1" errorStyle="stop" errorTitle="Invalid Time" error="Enter time as HH:MM (e.g. 09:30) or leave blank" sqref="P274">
      <formula1>OR(P274="",AND(LEN(P274)=5,MID(P274,3,1)=":",ISNUMBER(VALUE(LEFT(P274,2))),ISNUMBER(VALUE(RIGHT(P274,2))),VALUE(LEFT(P274,2))&lt;=23,VALUE(RIGHT(P274,2))&lt;=59))</formula1>
    </dataValidation>
    <dataValidation type="custom" showErrorMessage="1" errorStyle="stop" errorTitle="Invalid Time" error="Enter time as HH:MM (e.g. 09:30) or leave blank" sqref="P275">
      <formula1>OR(P275="",AND(LEN(P275)=5,MID(P275,3,1)=":",ISNUMBER(VALUE(LEFT(P275,2))),ISNUMBER(VALUE(RIGHT(P275,2))),VALUE(LEFT(P275,2))&lt;=23,VALUE(RIGHT(P275,2))&lt;=59))</formula1>
    </dataValidation>
    <dataValidation type="custom" showErrorMessage="1" errorStyle="stop" errorTitle="Invalid Time" error="Enter time as HH:MM (e.g. 09:30) or leave blank" sqref="P276">
      <formula1>OR(P276="",AND(LEN(P276)=5,MID(P276,3,1)=":",ISNUMBER(VALUE(LEFT(P276,2))),ISNUMBER(VALUE(RIGHT(P276,2))),VALUE(LEFT(P276,2))&lt;=23,VALUE(RIGHT(P276,2))&lt;=59))</formula1>
    </dataValidation>
    <dataValidation type="custom" showErrorMessage="1" errorStyle="stop" errorTitle="Invalid Time" error="Enter time as HH:MM (e.g. 09:30) or leave blank" sqref="P277">
      <formula1>OR(P277="",AND(LEN(P277)=5,MID(P277,3,1)=":",ISNUMBER(VALUE(LEFT(P277,2))),ISNUMBER(VALUE(RIGHT(P277,2))),VALUE(LEFT(P277,2))&lt;=23,VALUE(RIGHT(P277,2))&lt;=59))</formula1>
    </dataValidation>
    <dataValidation type="custom" showErrorMessage="1" errorStyle="stop" errorTitle="Invalid Time" error="Enter time as HH:MM (e.g. 09:30) or leave blank" sqref="P278">
      <formula1>OR(P278="",AND(LEN(P278)=5,MID(P278,3,1)=":",ISNUMBER(VALUE(LEFT(P278,2))),ISNUMBER(VALUE(RIGHT(P278,2))),VALUE(LEFT(P278,2))&lt;=23,VALUE(RIGHT(P278,2))&lt;=59))</formula1>
    </dataValidation>
    <dataValidation type="custom" showErrorMessage="1" errorStyle="stop" errorTitle="Invalid Time" error="Enter time as HH:MM (e.g. 09:30) or leave blank" sqref="P279">
      <formula1>OR(P279="",AND(LEN(P279)=5,MID(P279,3,1)=":",ISNUMBER(VALUE(LEFT(P279,2))),ISNUMBER(VALUE(RIGHT(P279,2))),VALUE(LEFT(P279,2))&lt;=23,VALUE(RIGHT(P279,2))&lt;=59))</formula1>
    </dataValidation>
    <dataValidation type="custom" showErrorMessage="1" errorStyle="stop" errorTitle="Invalid Time" error="Enter time as HH:MM (e.g. 09:30) or leave blank" sqref="P28">
      <formula1>OR(P28="",AND(LEN(P28)=5,MID(P28,3,1)=":",ISNUMBER(VALUE(LEFT(P28,2))),ISNUMBER(VALUE(RIGHT(P28,2))),VALUE(LEFT(P28,2))&lt;=23,VALUE(RIGHT(P28,2))&lt;=59))</formula1>
    </dataValidation>
    <dataValidation type="custom" showErrorMessage="1" errorStyle="stop" errorTitle="Invalid Time" error="Enter time as HH:MM (e.g. 09:30) or leave blank" sqref="P280">
      <formula1>OR(P280="",AND(LEN(P280)=5,MID(P280,3,1)=":",ISNUMBER(VALUE(LEFT(P280,2))),ISNUMBER(VALUE(RIGHT(P280,2))),VALUE(LEFT(P280,2))&lt;=23,VALUE(RIGHT(P280,2))&lt;=59))</formula1>
    </dataValidation>
    <dataValidation type="custom" showErrorMessage="1" errorStyle="stop" errorTitle="Invalid Time" error="Enter time as HH:MM (e.g. 09:30) or leave blank" sqref="P281">
      <formula1>OR(P281="",AND(LEN(P281)=5,MID(P281,3,1)=":",ISNUMBER(VALUE(LEFT(P281,2))),ISNUMBER(VALUE(RIGHT(P281,2))),VALUE(LEFT(P281,2))&lt;=23,VALUE(RIGHT(P281,2))&lt;=59))</formula1>
    </dataValidation>
    <dataValidation type="custom" showErrorMessage="1" errorStyle="stop" errorTitle="Invalid Time" error="Enter time as HH:MM (e.g. 09:30) or leave blank" sqref="P282">
      <formula1>OR(P282="",AND(LEN(P282)=5,MID(P282,3,1)=":",ISNUMBER(VALUE(LEFT(P282,2))),ISNUMBER(VALUE(RIGHT(P282,2))),VALUE(LEFT(P282,2))&lt;=23,VALUE(RIGHT(P282,2))&lt;=59))</formula1>
    </dataValidation>
    <dataValidation type="custom" showErrorMessage="1" errorStyle="stop" errorTitle="Invalid Time" error="Enter time as HH:MM (e.g. 09:30) or leave blank" sqref="P283">
      <formula1>OR(P283="",AND(LEN(P283)=5,MID(P283,3,1)=":",ISNUMBER(VALUE(LEFT(P283,2))),ISNUMBER(VALUE(RIGHT(P283,2))),VALUE(LEFT(P283,2))&lt;=23,VALUE(RIGHT(P283,2))&lt;=59))</formula1>
    </dataValidation>
    <dataValidation type="custom" showErrorMessage="1" errorStyle="stop" errorTitle="Invalid Time" error="Enter time as HH:MM (e.g. 09:30) or leave blank" sqref="P284">
      <formula1>OR(P284="",AND(LEN(P284)=5,MID(P284,3,1)=":",ISNUMBER(VALUE(LEFT(P284,2))),ISNUMBER(VALUE(RIGHT(P284,2))),VALUE(LEFT(P284,2))&lt;=23,VALUE(RIGHT(P284,2))&lt;=59))</formula1>
    </dataValidation>
    <dataValidation type="custom" showErrorMessage="1" errorStyle="stop" errorTitle="Invalid Time" error="Enter time as HH:MM (e.g. 09:30) or leave blank" sqref="P285">
      <formula1>OR(P285="",AND(LEN(P285)=5,MID(P285,3,1)=":",ISNUMBER(VALUE(LEFT(P285,2))),ISNUMBER(VALUE(RIGHT(P285,2))),VALUE(LEFT(P285,2))&lt;=23,VALUE(RIGHT(P285,2))&lt;=59))</formula1>
    </dataValidation>
    <dataValidation type="custom" showErrorMessage="1" errorStyle="stop" errorTitle="Invalid Time" error="Enter time as HH:MM (e.g. 09:30) or leave blank" sqref="P286">
      <formula1>OR(P286="",AND(LEN(P286)=5,MID(P286,3,1)=":",ISNUMBER(VALUE(LEFT(P286,2))),ISNUMBER(VALUE(RIGHT(P286,2))),VALUE(LEFT(P286,2))&lt;=23,VALUE(RIGHT(P286,2))&lt;=59))</formula1>
    </dataValidation>
    <dataValidation type="custom" showErrorMessage="1" errorStyle="stop" errorTitle="Invalid Time" error="Enter time as HH:MM (e.g. 09:30) or leave blank" sqref="P287">
      <formula1>OR(P287="",AND(LEN(P287)=5,MID(P287,3,1)=":",ISNUMBER(VALUE(LEFT(P287,2))),ISNUMBER(VALUE(RIGHT(P287,2))),VALUE(LEFT(P287,2))&lt;=23,VALUE(RIGHT(P287,2))&lt;=59))</formula1>
    </dataValidation>
    <dataValidation type="custom" showErrorMessage="1" errorStyle="stop" errorTitle="Invalid Time" error="Enter time as HH:MM (e.g. 09:30) or leave blank" sqref="P288">
      <formula1>OR(P288="",AND(LEN(P288)=5,MID(P288,3,1)=":",ISNUMBER(VALUE(LEFT(P288,2))),ISNUMBER(VALUE(RIGHT(P288,2))),VALUE(LEFT(P288,2))&lt;=23,VALUE(RIGHT(P288,2))&lt;=59))</formula1>
    </dataValidation>
    <dataValidation type="custom" showErrorMessage="1" errorStyle="stop" errorTitle="Invalid Time" error="Enter time as HH:MM (e.g. 09:30) or leave blank" sqref="P289">
      <formula1>OR(P289="",AND(LEN(P289)=5,MID(P289,3,1)=":",ISNUMBER(VALUE(LEFT(P289,2))),ISNUMBER(VALUE(RIGHT(P289,2))),VALUE(LEFT(P289,2))&lt;=23,VALUE(RIGHT(P289,2))&lt;=59))</formula1>
    </dataValidation>
    <dataValidation type="custom" showErrorMessage="1" errorStyle="stop" errorTitle="Invalid Time" error="Enter time as HH:MM (e.g. 09:30) or leave blank" sqref="P29">
      <formula1>OR(P29="",AND(LEN(P29)=5,MID(P29,3,1)=":",ISNUMBER(VALUE(LEFT(P29,2))),ISNUMBER(VALUE(RIGHT(P29,2))),VALUE(LEFT(P29,2))&lt;=23,VALUE(RIGHT(P29,2))&lt;=59))</formula1>
    </dataValidation>
    <dataValidation type="custom" showErrorMessage="1" errorStyle="stop" errorTitle="Invalid Time" error="Enter time as HH:MM (e.g. 09:30) or leave blank" sqref="P290">
      <formula1>OR(P290="",AND(LEN(P290)=5,MID(P290,3,1)=":",ISNUMBER(VALUE(LEFT(P290,2))),ISNUMBER(VALUE(RIGHT(P290,2))),VALUE(LEFT(P290,2))&lt;=23,VALUE(RIGHT(P290,2))&lt;=59))</formula1>
    </dataValidation>
    <dataValidation type="custom" showErrorMessage="1" errorStyle="stop" errorTitle="Invalid Time" error="Enter time as HH:MM (e.g. 09:30) or leave blank" sqref="P291">
      <formula1>OR(P291="",AND(LEN(P291)=5,MID(P291,3,1)=":",ISNUMBER(VALUE(LEFT(P291,2))),ISNUMBER(VALUE(RIGHT(P291,2))),VALUE(LEFT(P291,2))&lt;=23,VALUE(RIGHT(P291,2))&lt;=59))</formula1>
    </dataValidation>
    <dataValidation type="custom" showErrorMessage="1" errorStyle="stop" errorTitle="Invalid Time" error="Enter time as HH:MM (e.g. 09:30) or leave blank" sqref="P292">
      <formula1>OR(P292="",AND(LEN(P292)=5,MID(P292,3,1)=":",ISNUMBER(VALUE(LEFT(P292,2))),ISNUMBER(VALUE(RIGHT(P292,2))),VALUE(LEFT(P292,2))&lt;=23,VALUE(RIGHT(P292,2))&lt;=59))</formula1>
    </dataValidation>
    <dataValidation type="custom" showErrorMessage="1" errorStyle="stop" errorTitle="Invalid Time" error="Enter time as HH:MM (e.g. 09:30) or leave blank" sqref="P293">
      <formula1>OR(P293="",AND(LEN(P293)=5,MID(P293,3,1)=":",ISNUMBER(VALUE(LEFT(P293,2))),ISNUMBER(VALUE(RIGHT(P293,2))),VALUE(LEFT(P293,2))&lt;=23,VALUE(RIGHT(P293,2))&lt;=59))</formula1>
    </dataValidation>
    <dataValidation type="custom" showErrorMessage="1" errorStyle="stop" errorTitle="Invalid Time" error="Enter time as HH:MM (e.g. 09:30) or leave blank" sqref="P294">
      <formula1>OR(P294="",AND(LEN(P294)=5,MID(P294,3,1)=":",ISNUMBER(VALUE(LEFT(P294,2))),ISNUMBER(VALUE(RIGHT(P294,2))),VALUE(LEFT(P294,2))&lt;=23,VALUE(RIGHT(P294,2))&lt;=59))</formula1>
    </dataValidation>
    <dataValidation type="custom" showErrorMessage="1" errorStyle="stop" errorTitle="Invalid Time" error="Enter time as HH:MM (e.g. 09:30) or leave blank" sqref="P295">
      <formula1>OR(P295="",AND(LEN(P295)=5,MID(P295,3,1)=":",ISNUMBER(VALUE(LEFT(P295,2))),ISNUMBER(VALUE(RIGHT(P295,2))),VALUE(LEFT(P295,2))&lt;=23,VALUE(RIGHT(P295,2))&lt;=59))</formula1>
    </dataValidation>
    <dataValidation type="custom" showErrorMessage="1" errorStyle="stop" errorTitle="Invalid Time" error="Enter time as HH:MM (e.g. 09:30) or leave blank" sqref="P296">
      <formula1>OR(P296="",AND(LEN(P296)=5,MID(P296,3,1)=":",ISNUMBER(VALUE(LEFT(P296,2))),ISNUMBER(VALUE(RIGHT(P296,2))),VALUE(LEFT(P296,2))&lt;=23,VALUE(RIGHT(P296,2))&lt;=59))</formula1>
    </dataValidation>
    <dataValidation type="custom" showErrorMessage="1" errorStyle="stop" errorTitle="Invalid Time" error="Enter time as HH:MM (e.g. 09:30) or leave blank" sqref="P297">
      <formula1>OR(P297="",AND(LEN(P297)=5,MID(P297,3,1)=":",ISNUMBER(VALUE(LEFT(P297,2))),ISNUMBER(VALUE(RIGHT(P297,2))),VALUE(LEFT(P297,2))&lt;=23,VALUE(RIGHT(P297,2))&lt;=59))</formula1>
    </dataValidation>
    <dataValidation type="custom" showErrorMessage="1" errorStyle="stop" errorTitle="Invalid Time" error="Enter time as HH:MM (e.g. 09:30) or leave blank" sqref="P298">
      <formula1>OR(P298="",AND(LEN(P298)=5,MID(P298,3,1)=":",ISNUMBER(VALUE(LEFT(P298,2))),ISNUMBER(VALUE(RIGHT(P298,2))),VALUE(LEFT(P298,2))&lt;=23,VALUE(RIGHT(P298,2))&lt;=59))</formula1>
    </dataValidation>
    <dataValidation type="custom" showErrorMessage="1" errorStyle="stop" errorTitle="Invalid Time" error="Enter time as HH:MM (e.g. 09:30) or leave blank" sqref="P299">
      <formula1>OR(P299="",AND(LEN(P299)=5,MID(P299,3,1)=":",ISNUMBER(VALUE(LEFT(P299,2))),ISNUMBER(VALUE(RIGHT(P299,2))),VALUE(LEFT(P299,2))&lt;=23,VALUE(RIGHT(P299,2))&lt;=59))</formula1>
    </dataValidation>
    <dataValidation type="custom" showErrorMessage="1" errorStyle="stop" errorTitle="Invalid Time" error="Enter time as HH:MM (e.g. 09:30) or leave blank" sqref="P30">
      <formula1>OR(P30="",AND(LEN(P30)=5,MID(P30,3,1)=":",ISNUMBER(VALUE(LEFT(P30,2))),ISNUMBER(VALUE(RIGHT(P30,2))),VALUE(LEFT(P30,2))&lt;=23,VALUE(RIGHT(P30,2))&lt;=59))</formula1>
    </dataValidation>
    <dataValidation type="custom" showErrorMessage="1" errorStyle="stop" errorTitle="Invalid Time" error="Enter time as HH:MM (e.g. 09:30) or leave blank" sqref="P300">
      <formula1>OR(P300="",AND(LEN(P300)=5,MID(P300,3,1)=":",ISNUMBER(VALUE(LEFT(P300,2))),ISNUMBER(VALUE(RIGHT(P300,2))),VALUE(LEFT(P300,2))&lt;=23,VALUE(RIGHT(P300,2))&lt;=59))</formula1>
    </dataValidation>
    <dataValidation type="custom" showErrorMessage="1" errorStyle="stop" errorTitle="Invalid Time" error="Enter time as HH:MM (e.g. 09:30) or leave blank" sqref="P301">
      <formula1>OR(P301="",AND(LEN(P301)=5,MID(P301,3,1)=":",ISNUMBER(VALUE(LEFT(P301,2))),ISNUMBER(VALUE(RIGHT(P301,2))),VALUE(LEFT(P301,2))&lt;=23,VALUE(RIGHT(P301,2))&lt;=59))</formula1>
    </dataValidation>
    <dataValidation type="custom" showErrorMessage="1" errorStyle="stop" errorTitle="Invalid Time" error="Enter time as HH:MM (e.g. 09:30) or leave blank" sqref="P302">
      <formula1>OR(P302="",AND(LEN(P302)=5,MID(P302,3,1)=":",ISNUMBER(VALUE(LEFT(P302,2))),ISNUMBER(VALUE(RIGHT(P302,2))),VALUE(LEFT(P302,2))&lt;=23,VALUE(RIGHT(P302,2))&lt;=59))</formula1>
    </dataValidation>
    <dataValidation type="custom" showErrorMessage="1" errorStyle="stop" errorTitle="Invalid Time" error="Enter time as HH:MM (e.g. 09:30) or leave blank" sqref="P303">
      <formula1>OR(P303="",AND(LEN(P303)=5,MID(P303,3,1)=":",ISNUMBER(VALUE(LEFT(P303,2))),ISNUMBER(VALUE(RIGHT(P303,2))),VALUE(LEFT(P303,2))&lt;=23,VALUE(RIGHT(P303,2))&lt;=59))</formula1>
    </dataValidation>
    <dataValidation type="custom" showErrorMessage="1" errorStyle="stop" errorTitle="Invalid Time" error="Enter time as HH:MM (e.g. 09:30) or leave blank" sqref="P304">
      <formula1>OR(P304="",AND(LEN(P304)=5,MID(P304,3,1)=":",ISNUMBER(VALUE(LEFT(P304,2))),ISNUMBER(VALUE(RIGHT(P304,2))),VALUE(LEFT(P304,2))&lt;=23,VALUE(RIGHT(P304,2))&lt;=59))</formula1>
    </dataValidation>
    <dataValidation type="custom" showErrorMessage="1" errorStyle="stop" errorTitle="Invalid Time" error="Enter time as HH:MM (e.g. 09:30) or leave blank" sqref="P305">
      <formula1>OR(P305="",AND(LEN(P305)=5,MID(P305,3,1)=":",ISNUMBER(VALUE(LEFT(P305,2))),ISNUMBER(VALUE(RIGHT(P305,2))),VALUE(LEFT(P305,2))&lt;=23,VALUE(RIGHT(P305,2))&lt;=59))</formula1>
    </dataValidation>
    <dataValidation type="custom" showErrorMessage="1" errorStyle="stop" errorTitle="Invalid Time" error="Enter time as HH:MM (e.g. 09:30) or leave blank" sqref="P306">
      <formula1>OR(P306="",AND(LEN(P306)=5,MID(P306,3,1)=":",ISNUMBER(VALUE(LEFT(P306,2))),ISNUMBER(VALUE(RIGHT(P306,2))),VALUE(LEFT(P306,2))&lt;=23,VALUE(RIGHT(P306,2))&lt;=59))</formula1>
    </dataValidation>
    <dataValidation type="custom" showErrorMessage="1" errorStyle="stop" errorTitle="Invalid Time" error="Enter time as HH:MM (e.g. 09:30) or leave blank" sqref="P307">
      <formula1>OR(P307="",AND(LEN(P307)=5,MID(P307,3,1)=":",ISNUMBER(VALUE(LEFT(P307,2))),ISNUMBER(VALUE(RIGHT(P307,2))),VALUE(LEFT(P307,2))&lt;=23,VALUE(RIGHT(P307,2))&lt;=59))</formula1>
    </dataValidation>
    <dataValidation type="custom" showErrorMessage="1" errorStyle="stop" errorTitle="Invalid Time" error="Enter time as HH:MM (e.g. 09:30) or leave blank" sqref="P308">
      <formula1>OR(P308="",AND(LEN(P308)=5,MID(P308,3,1)=":",ISNUMBER(VALUE(LEFT(P308,2))),ISNUMBER(VALUE(RIGHT(P308,2))),VALUE(LEFT(P308,2))&lt;=23,VALUE(RIGHT(P308,2))&lt;=59))</formula1>
    </dataValidation>
    <dataValidation type="custom" showErrorMessage="1" errorStyle="stop" errorTitle="Invalid Time" error="Enter time as HH:MM (e.g. 09:30) or leave blank" sqref="P309">
      <formula1>OR(P309="",AND(LEN(P309)=5,MID(P309,3,1)=":",ISNUMBER(VALUE(LEFT(P309,2))),ISNUMBER(VALUE(RIGHT(P309,2))),VALUE(LEFT(P309,2))&lt;=23,VALUE(RIGHT(P309,2))&lt;=59))</formula1>
    </dataValidation>
    <dataValidation type="custom" showErrorMessage="1" errorStyle="stop" errorTitle="Invalid Time" error="Enter time as HH:MM (e.g. 09:30) or leave blank" sqref="P31">
      <formula1>OR(P31="",AND(LEN(P31)=5,MID(P31,3,1)=":",ISNUMBER(VALUE(LEFT(P31,2))),ISNUMBER(VALUE(RIGHT(P31,2))),VALUE(LEFT(P31,2))&lt;=23,VALUE(RIGHT(P31,2))&lt;=59))</formula1>
    </dataValidation>
    <dataValidation type="custom" showErrorMessage="1" errorStyle="stop" errorTitle="Invalid Time" error="Enter time as HH:MM (e.g. 09:30) or leave blank" sqref="P310">
      <formula1>OR(P310="",AND(LEN(P310)=5,MID(P310,3,1)=":",ISNUMBER(VALUE(LEFT(P310,2))),ISNUMBER(VALUE(RIGHT(P310,2))),VALUE(LEFT(P310,2))&lt;=23,VALUE(RIGHT(P310,2))&lt;=59))</formula1>
    </dataValidation>
    <dataValidation type="custom" showErrorMessage="1" errorStyle="stop" errorTitle="Invalid Time" error="Enter time as HH:MM (e.g. 09:30) or leave blank" sqref="P311">
      <formula1>OR(P311="",AND(LEN(P311)=5,MID(P311,3,1)=":",ISNUMBER(VALUE(LEFT(P311,2))),ISNUMBER(VALUE(RIGHT(P311,2))),VALUE(LEFT(P311,2))&lt;=23,VALUE(RIGHT(P311,2))&lt;=59))</formula1>
    </dataValidation>
    <dataValidation type="custom" showErrorMessage="1" errorStyle="stop" errorTitle="Invalid Time" error="Enter time as HH:MM (e.g. 09:30) or leave blank" sqref="P312">
      <formula1>OR(P312="",AND(LEN(P312)=5,MID(P312,3,1)=":",ISNUMBER(VALUE(LEFT(P312,2))),ISNUMBER(VALUE(RIGHT(P312,2))),VALUE(LEFT(P312,2))&lt;=23,VALUE(RIGHT(P312,2))&lt;=59))</formula1>
    </dataValidation>
    <dataValidation type="custom" showErrorMessage="1" errorStyle="stop" errorTitle="Invalid Time" error="Enter time as HH:MM (e.g. 09:30) or leave blank" sqref="P313">
      <formula1>OR(P313="",AND(LEN(P313)=5,MID(P313,3,1)=":",ISNUMBER(VALUE(LEFT(P313,2))),ISNUMBER(VALUE(RIGHT(P313,2))),VALUE(LEFT(P313,2))&lt;=23,VALUE(RIGHT(P313,2))&lt;=59))</formula1>
    </dataValidation>
    <dataValidation type="custom" showErrorMessage="1" errorStyle="stop" errorTitle="Invalid Time" error="Enter time as HH:MM (e.g. 09:30) or leave blank" sqref="P314">
      <formula1>OR(P314="",AND(LEN(P314)=5,MID(P314,3,1)=":",ISNUMBER(VALUE(LEFT(P314,2))),ISNUMBER(VALUE(RIGHT(P314,2))),VALUE(LEFT(P314,2))&lt;=23,VALUE(RIGHT(P314,2))&lt;=59))</formula1>
    </dataValidation>
    <dataValidation type="custom" showErrorMessage="1" errorStyle="stop" errorTitle="Invalid Time" error="Enter time as HH:MM (e.g. 09:30) or leave blank" sqref="P315">
      <formula1>OR(P315="",AND(LEN(P315)=5,MID(P315,3,1)=":",ISNUMBER(VALUE(LEFT(P315,2))),ISNUMBER(VALUE(RIGHT(P315,2))),VALUE(LEFT(P315,2))&lt;=23,VALUE(RIGHT(P315,2))&lt;=59))</formula1>
    </dataValidation>
    <dataValidation type="custom" showErrorMessage="1" errorStyle="stop" errorTitle="Invalid Time" error="Enter time as HH:MM (e.g. 09:30) or leave blank" sqref="P316">
      <formula1>OR(P316="",AND(LEN(P316)=5,MID(P316,3,1)=":",ISNUMBER(VALUE(LEFT(P316,2))),ISNUMBER(VALUE(RIGHT(P316,2))),VALUE(LEFT(P316,2))&lt;=23,VALUE(RIGHT(P316,2))&lt;=59))</formula1>
    </dataValidation>
    <dataValidation type="custom" showErrorMessage="1" errorStyle="stop" errorTitle="Invalid Time" error="Enter time as HH:MM (e.g. 09:30) or leave blank" sqref="P317">
      <formula1>OR(P317="",AND(LEN(P317)=5,MID(P317,3,1)=":",ISNUMBER(VALUE(LEFT(P317,2))),ISNUMBER(VALUE(RIGHT(P317,2))),VALUE(LEFT(P317,2))&lt;=23,VALUE(RIGHT(P317,2))&lt;=59))</formula1>
    </dataValidation>
    <dataValidation type="custom" showErrorMessage="1" errorStyle="stop" errorTitle="Invalid Time" error="Enter time as HH:MM (e.g. 09:30) or leave blank" sqref="P318">
      <formula1>OR(P318="",AND(LEN(P318)=5,MID(P318,3,1)=":",ISNUMBER(VALUE(LEFT(P318,2))),ISNUMBER(VALUE(RIGHT(P318,2))),VALUE(LEFT(P318,2))&lt;=23,VALUE(RIGHT(P318,2))&lt;=59))</formula1>
    </dataValidation>
    <dataValidation type="custom" showErrorMessage="1" errorStyle="stop" errorTitle="Invalid Time" error="Enter time as HH:MM (e.g. 09:30) or leave blank" sqref="P319">
      <formula1>OR(P319="",AND(LEN(P319)=5,MID(P319,3,1)=":",ISNUMBER(VALUE(LEFT(P319,2))),ISNUMBER(VALUE(RIGHT(P319,2))),VALUE(LEFT(P319,2))&lt;=23,VALUE(RIGHT(P319,2))&lt;=59))</formula1>
    </dataValidation>
    <dataValidation type="custom" showErrorMessage="1" errorStyle="stop" errorTitle="Invalid Time" error="Enter time as HH:MM (e.g. 09:30) or leave blank" sqref="P32">
      <formula1>OR(P32="",AND(LEN(P32)=5,MID(P32,3,1)=":",ISNUMBER(VALUE(LEFT(P32,2))),ISNUMBER(VALUE(RIGHT(P32,2))),VALUE(LEFT(P32,2))&lt;=23,VALUE(RIGHT(P32,2))&lt;=59))</formula1>
    </dataValidation>
    <dataValidation type="custom" showErrorMessage="1" errorStyle="stop" errorTitle="Invalid Time" error="Enter time as HH:MM (e.g. 09:30) or leave blank" sqref="P320">
      <formula1>OR(P320="",AND(LEN(P320)=5,MID(P320,3,1)=":",ISNUMBER(VALUE(LEFT(P320,2))),ISNUMBER(VALUE(RIGHT(P320,2))),VALUE(LEFT(P320,2))&lt;=23,VALUE(RIGHT(P320,2))&lt;=59))</formula1>
    </dataValidation>
    <dataValidation type="custom" showErrorMessage="1" errorStyle="stop" errorTitle="Invalid Time" error="Enter time as HH:MM (e.g. 09:30) or leave blank" sqref="P321">
      <formula1>OR(P321="",AND(LEN(P321)=5,MID(P321,3,1)=":",ISNUMBER(VALUE(LEFT(P321,2))),ISNUMBER(VALUE(RIGHT(P321,2))),VALUE(LEFT(P321,2))&lt;=23,VALUE(RIGHT(P321,2))&lt;=59))</formula1>
    </dataValidation>
    <dataValidation type="custom" showErrorMessage="1" errorStyle="stop" errorTitle="Invalid Time" error="Enter time as HH:MM (e.g. 09:30) or leave blank" sqref="P322">
      <formula1>OR(P322="",AND(LEN(P322)=5,MID(P322,3,1)=":",ISNUMBER(VALUE(LEFT(P322,2))),ISNUMBER(VALUE(RIGHT(P322,2))),VALUE(LEFT(P322,2))&lt;=23,VALUE(RIGHT(P322,2))&lt;=59))</formula1>
    </dataValidation>
    <dataValidation type="custom" showErrorMessage="1" errorStyle="stop" errorTitle="Invalid Time" error="Enter time as HH:MM (e.g. 09:30) or leave blank" sqref="P323">
      <formula1>OR(P323="",AND(LEN(P323)=5,MID(P323,3,1)=":",ISNUMBER(VALUE(LEFT(P323,2))),ISNUMBER(VALUE(RIGHT(P323,2))),VALUE(LEFT(P323,2))&lt;=23,VALUE(RIGHT(P323,2))&lt;=59))</formula1>
    </dataValidation>
    <dataValidation type="custom" showErrorMessage="1" errorStyle="stop" errorTitle="Invalid Time" error="Enter time as HH:MM (e.g. 09:30) or leave blank" sqref="P324">
      <formula1>OR(P324="",AND(LEN(P324)=5,MID(P324,3,1)=":",ISNUMBER(VALUE(LEFT(P324,2))),ISNUMBER(VALUE(RIGHT(P324,2))),VALUE(LEFT(P324,2))&lt;=23,VALUE(RIGHT(P324,2))&lt;=59))</formula1>
    </dataValidation>
    <dataValidation type="custom" showErrorMessage="1" errorStyle="stop" errorTitle="Invalid Time" error="Enter time as HH:MM (e.g. 09:30) or leave blank" sqref="P325">
      <formula1>OR(P325="",AND(LEN(P325)=5,MID(P325,3,1)=":",ISNUMBER(VALUE(LEFT(P325,2))),ISNUMBER(VALUE(RIGHT(P325,2))),VALUE(LEFT(P325,2))&lt;=23,VALUE(RIGHT(P325,2))&lt;=59))</formula1>
    </dataValidation>
    <dataValidation type="custom" showErrorMessage="1" errorStyle="stop" errorTitle="Invalid Time" error="Enter time as HH:MM (e.g. 09:30) or leave blank" sqref="P326">
      <formula1>OR(P326="",AND(LEN(P326)=5,MID(P326,3,1)=":",ISNUMBER(VALUE(LEFT(P326,2))),ISNUMBER(VALUE(RIGHT(P326,2))),VALUE(LEFT(P326,2))&lt;=23,VALUE(RIGHT(P326,2))&lt;=59))</formula1>
    </dataValidation>
    <dataValidation type="custom" showErrorMessage="1" errorStyle="stop" errorTitle="Invalid Time" error="Enter time as HH:MM (e.g. 09:30) or leave blank" sqref="P327">
      <formula1>OR(P327="",AND(LEN(P327)=5,MID(P327,3,1)=":",ISNUMBER(VALUE(LEFT(P327,2))),ISNUMBER(VALUE(RIGHT(P327,2))),VALUE(LEFT(P327,2))&lt;=23,VALUE(RIGHT(P327,2))&lt;=59))</formula1>
    </dataValidation>
    <dataValidation type="custom" showErrorMessage="1" errorStyle="stop" errorTitle="Invalid Time" error="Enter time as HH:MM (e.g. 09:30) or leave blank" sqref="P328">
      <formula1>OR(P328="",AND(LEN(P328)=5,MID(P328,3,1)=":",ISNUMBER(VALUE(LEFT(P328,2))),ISNUMBER(VALUE(RIGHT(P328,2))),VALUE(LEFT(P328,2))&lt;=23,VALUE(RIGHT(P328,2))&lt;=59))</formula1>
    </dataValidation>
    <dataValidation type="custom" showErrorMessage="1" errorStyle="stop" errorTitle="Invalid Time" error="Enter time as HH:MM (e.g. 09:30) or leave blank" sqref="P329">
      <formula1>OR(P329="",AND(LEN(P329)=5,MID(P329,3,1)=":",ISNUMBER(VALUE(LEFT(P329,2))),ISNUMBER(VALUE(RIGHT(P329,2))),VALUE(LEFT(P329,2))&lt;=23,VALUE(RIGHT(P329,2))&lt;=59))</formula1>
    </dataValidation>
    <dataValidation type="custom" showErrorMessage="1" errorStyle="stop" errorTitle="Invalid Time" error="Enter time as HH:MM (e.g. 09:30) or leave blank" sqref="P33">
      <formula1>OR(P33="",AND(LEN(P33)=5,MID(P33,3,1)=":",ISNUMBER(VALUE(LEFT(P33,2))),ISNUMBER(VALUE(RIGHT(P33,2))),VALUE(LEFT(P33,2))&lt;=23,VALUE(RIGHT(P33,2))&lt;=59))</formula1>
    </dataValidation>
    <dataValidation type="custom" showErrorMessage="1" errorStyle="stop" errorTitle="Invalid Time" error="Enter time as HH:MM (e.g. 09:30) or leave blank" sqref="P330">
      <formula1>OR(P330="",AND(LEN(P330)=5,MID(P330,3,1)=":",ISNUMBER(VALUE(LEFT(P330,2))),ISNUMBER(VALUE(RIGHT(P330,2))),VALUE(LEFT(P330,2))&lt;=23,VALUE(RIGHT(P330,2))&lt;=59))</formula1>
    </dataValidation>
    <dataValidation type="custom" showErrorMessage="1" errorStyle="stop" errorTitle="Invalid Time" error="Enter time as HH:MM (e.g. 09:30) or leave blank" sqref="P331">
      <formula1>OR(P331="",AND(LEN(P331)=5,MID(P331,3,1)=":",ISNUMBER(VALUE(LEFT(P331,2))),ISNUMBER(VALUE(RIGHT(P331,2))),VALUE(LEFT(P331,2))&lt;=23,VALUE(RIGHT(P331,2))&lt;=59))</formula1>
    </dataValidation>
    <dataValidation type="custom" showErrorMessage="1" errorStyle="stop" errorTitle="Invalid Time" error="Enter time as HH:MM (e.g. 09:30) or leave blank" sqref="P332">
      <formula1>OR(P332="",AND(LEN(P332)=5,MID(P332,3,1)=":",ISNUMBER(VALUE(LEFT(P332,2))),ISNUMBER(VALUE(RIGHT(P332,2))),VALUE(LEFT(P332,2))&lt;=23,VALUE(RIGHT(P332,2))&lt;=59))</formula1>
    </dataValidation>
    <dataValidation type="custom" showErrorMessage="1" errorStyle="stop" errorTitle="Invalid Time" error="Enter time as HH:MM (e.g. 09:30) or leave blank" sqref="P333">
      <formula1>OR(P333="",AND(LEN(P333)=5,MID(P333,3,1)=":",ISNUMBER(VALUE(LEFT(P333,2))),ISNUMBER(VALUE(RIGHT(P333,2))),VALUE(LEFT(P333,2))&lt;=23,VALUE(RIGHT(P333,2))&lt;=59))</formula1>
    </dataValidation>
    <dataValidation type="custom" showErrorMessage="1" errorStyle="stop" errorTitle="Invalid Time" error="Enter time as HH:MM (e.g. 09:30) or leave blank" sqref="P334">
      <formula1>OR(P334="",AND(LEN(P334)=5,MID(P334,3,1)=":",ISNUMBER(VALUE(LEFT(P334,2))),ISNUMBER(VALUE(RIGHT(P334,2))),VALUE(LEFT(P334,2))&lt;=23,VALUE(RIGHT(P334,2))&lt;=59))</formula1>
    </dataValidation>
    <dataValidation type="custom" showErrorMessage="1" errorStyle="stop" errorTitle="Invalid Time" error="Enter time as HH:MM (e.g. 09:30) or leave blank" sqref="P335">
      <formula1>OR(P335="",AND(LEN(P335)=5,MID(P335,3,1)=":",ISNUMBER(VALUE(LEFT(P335,2))),ISNUMBER(VALUE(RIGHT(P335,2))),VALUE(LEFT(P335,2))&lt;=23,VALUE(RIGHT(P335,2))&lt;=59))</formula1>
    </dataValidation>
    <dataValidation type="custom" showErrorMessage="1" errorStyle="stop" errorTitle="Invalid Time" error="Enter time as HH:MM (e.g. 09:30) or leave blank" sqref="P336">
      <formula1>OR(P336="",AND(LEN(P336)=5,MID(P336,3,1)=":",ISNUMBER(VALUE(LEFT(P336,2))),ISNUMBER(VALUE(RIGHT(P336,2))),VALUE(LEFT(P336,2))&lt;=23,VALUE(RIGHT(P336,2))&lt;=59))</formula1>
    </dataValidation>
    <dataValidation type="custom" showErrorMessage="1" errorStyle="stop" errorTitle="Invalid Time" error="Enter time as HH:MM (e.g. 09:30) or leave blank" sqref="P337">
      <formula1>OR(P337="",AND(LEN(P337)=5,MID(P337,3,1)=":",ISNUMBER(VALUE(LEFT(P337,2))),ISNUMBER(VALUE(RIGHT(P337,2))),VALUE(LEFT(P337,2))&lt;=23,VALUE(RIGHT(P337,2))&lt;=59))</formula1>
    </dataValidation>
    <dataValidation type="custom" showErrorMessage="1" errorStyle="stop" errorTitle="Invalid Time" error="Enter time as HH:MM (e.g. 09:30) or leave blank" sqref="P338">
      <formula1>OR(P338="",AND(LEN(P338)=5,MID(P338,3,1)=":",ISNUMBER(VALUE(LEFT(P338,2))),ISNUMBER(VALUE(RIGHT(P338,2))),VALUE(LEFT(P338,2))&lt;=23,VALUE(RIGHT(P338,2))&lt;=59))</formula1>
    </dataValidation>
    <dataValidation type="custom" showErrorMessage="1" errorStyle="stop" errorTitle="Invalid Time" error="Enter time as HH:MM (e.g. 09:30) or leave blank" sqref="P339">
      <formula1>OR(P339="",AND(LEN(P339)=5,MID(P339,3,1)=":",ISNUMBER(VALUE(LEFT(P339,2))),ISNUMBER(VALUE(RIGHT(P339,2))),VALUE(LEFT(P339,2))&lt;=23,VALUE(RIGHT(P339,2))&lt;=59))</formula1>
    </dataValidation>
    <dataValidation type="custom" showErrorMessage="1" errorStyle="stop" errorTitle="Invalid Time" error="Enter time as HH:MM (e.g. 09:30) or leave blank" sqref="P34">
      <formula1>OR(P34="",AND(LEN(P34)=5,MID(P34,3,1)=":",ISNUMBER(VALUE(LEFT(P34,2))),ISNUMBER(VALUE(RIGHT(P34,2))),VALUE(LEFT(P34,2))&lt;=23,VALUE(RIGHT(P34,2))&lt;=59))</formula1>
    </dataValidation>
    <dataValidation type="custom" showErrorMessage="1" errorStyle="stop" errorTitle="Invalid Time" error="Enter time as HH:MM (e.g. 09:30) or leave blank" sqref="P340">
      <formula1>OR(P340="",AND(LEN(P340)=5,MID(P340,3,1)=":",ISNUMBER(VALUE(LEFT(P340,2))),ISNUMBER(VALUE(RIGHT(P340,2))),VALUE(LEFT(P340,2))&lt;=23,VALUE(RIGHT(P340,2))&lt;=59))</formula1>
    </dataValidation>
    <dataValidation type="custom" showErrorMessage="1" errorStyle="stop" errorTitle="Invalid Time" error="Enter time as HH:MM (e.g. 09:30) or leave blank" sqref="P341">
      <formula1>OR(P341="",AND(LEN(P341)=5,MID(P341,3,1)=":",ISNUMBER(VALUE(LEFT(P341,2))),ISNUMBER(VALUE(RIGHT(P341,2))),VALUE(LEFT(P341,2))&lt;=23,VALUE(RIGHT(P341,2))&lt;=59))</formula1>
    </dataValidation>
    <dataValidation type="custom" showErrorMessage="1" errorStyle="stop" errorTitle="Invalid Time" error="Enter time as HH:MM (e.g. 09:30) or leave blank" sqref="P342">
      <formula1>OR(P342="",AND(LEN(P342)=5,MID(P342,3,1)=":",ISNUMBER(VALUE(LEFT(P342,2))),ISNUMBER(VALUE(RIGHT(P342,2))),VALUE(LEFT(P342,2))&lt;=23,VALUE(RIGHT(P342,2))&lt;=59))</formula1>
    </dataValidation>
    <dataValidation type="custom" showErrorMessage="1" errorStyle="stop" errorTitle="Invalid Time" error="Enter time as HH:MM (e.g. 09:30) or leave blank" sqref="P343">
      <formula1>OR(P343="",AND(LEN(P343)=5,MID(P343,3,1)=":",ISNUMBER(VALUE(LEFT(P343,2))),ISNUMBER(VALUE(RIGHT(P343,2))),VALUE(LEFT(P343,2))&lt;=23,VALUE(RIGHT(P343,2))&lt;=59))</formula1>
    </dataValidation>
    <dataValidation type="custom" showErrorMessage="1" errorStyle="stop" errorTitle="Invalid Time" error="Enter time as HH:MM (e.g. 09:30) or leave blank" sqref="P344">
      <formula1>OR(P344="",AND(LEN(P344)=5,MID(P344,3,1)=":",ISNUMBER(VALUE(LEFT(P344,2))),ISNUMBER(VALUE(RIGHT(P344,2))),VALUE(LEFT(P344,2))&lt;=23,VALUE(RIGHT(P344,2))&lt;=59))</formula1>
    </dataValidation>
    <dataValidation type="custom" showErrorMessage="1" errorStyle="stop" errorTitle="Invalid Time" error="Enter time as HH:MM (e.g. 09:30) or leave blank" sqref="P345">
      <formula1>OR(P345="",AND(LEN(P345)=5,MID(P345,3,1)=":",ISNUMBER(VALUE(LEFT(P345,2))),ISNUMBER(VALUE(RIGHT(P345,2))),VALUE(LEFT(P345,2))&lt;=23,VALUE(RIGHT(P345,2))&lt;=59))</formula1>
    </dataValidation>
    <dataValidation type="custom" showErrorMessage="1" errorStyle="stop" errorTitle="Invalid Time" error="Enter time as HH:MM (e.g. 09:30) or leave blank" sqref="P346">
      <formula1>OR(P346="",AND(LEN(P346)=5,MID(P346,3,1)=":",ISNUMBER(VALUE(LEFT(P346,2))),ISNUMBER(VALUE(RIGHT(P346,2))),VALUE(LEFT(P346,2))&lt;=23,VALUE(RIGHT(P346,2))&lt;=59))</formula1>
    </dataValidation>
    <dataValidation type="custom" showErrorMessage="1" errorStyle="stop" errorTitle="Invalid Time" error="Enter time as HH:MM (e.g. 09:30) or leave blank" sqref="P347">
      <formula1>OR(P347="",AND(LEN(P347)=5,MID(P347,3,1)=":",ISNUMBER(VALUE(LEFT(P347,2))),ISNUMBER(VALUE(RIGHT(P347,2))),VALUE(LEFT(P347,2))&lt;=23,VALUE(RIGHT(P347,2))&lt;=59))</formula1>
    </dataValidation>
    <dataValidation type="custom" showErrorMessage="1" errorStyle="stop" errorTitle="Invalid Time" error="Enter time as HH:MM (e.g. 09:30) or leave blank" sqref="P348">
      <formula1>OR(P348="",AND(LEN(P348)=5,MID(P348,3,1)=":",ISNUMBER(VALUE(LEFT(P348,2))),ISNUMBER(VALUE(RIGHT(P348,2))),VALUE(LEFT(P348,2))&lt;=23,VALUE(RIGHT(P348,2))&lt;=59))</formula1>
    </dataValidation>
    <dataValidation type="custom" showErrorMessage="1" errorStyle="stop" errorTitle="Invalid Time" error="Enter time as HH:MM (e.g. 09:30) or leave blank" sqref="P349">
      <formula1>OR(P349="",AND(LEN(P349)=5,MID(P349,3,1)=":",ISNUMBER(VALUE(LEFT(P349,2))),ISNUMBER(VALUE(RIGHT(P349,2))),VALUE(LEFT(P349,2))&lt;=23,VALUE(RIGHT(P349,2))&lt;=59))</formula1>
    </dataValidation>
    <dataValidation type="custom" showErrorMessage="1" errorStyle="stop" errorTitle="Invalid Time" error="Enter time as HH:MM (e.g. 09:30) or leave blank" sqref="P35">
      <formula1>OR(P35="",AND(LEN(P35)=5,MID(P35,3,1)=":",ISNUMBER(VALUE(LEFT(P35,2))),ISNUMBER(VALUE(RIGHT(P35,2))),VALUE(LEFT(P35,2))&lt;=23,VALUE(RIGHT(P35,2))&lt;=59))</formula1>
    </dataValidation>
    <dataValidation type="custom" showErrorMessage="1" errorStyle="stop" errorTitle="Invalid Time" error="Enter time as HH:MM (e.g. 09:30) or leave blank" sqref="P350">
      <formula1>OR(P350="",AND(LEN(P350)=5,MID(P350,3,1)=":",ISNUMBER(VALUE(LEFT(P350,2))),ISNUMBER(VALUE(RIGHT(P350,2))),VALUE(LEFT(P350,2))&lt;=23,VALUE(RIGHT(P350,2))&lt;=59))</formula1>
    </dataValidation>
    <dataValidation type="custom" showErrorMessage="1" errorStyle="stop" errorTitle="Invalid Time" error="Enter time as HH:MM (e.g. 09:30) or leave blank" sqref="P351">
      <formula1>OR(P351="",AND(LEN(P351)=5,MID(P351,3,1)=":",ISNUMBER(VALUE(LEFT(P351,2))),ISNUMBER(VALUE(RIGHT(P351,2))),VALUE(LEFT(P351,2))&lt;=23,VALUE(RIGHT(P351,2))&lt;=59))</formula1>
    </dataValidation>
    <dataValidation type="custom" showErrorMessage="1" errorStyle="stop" errorTitle="Invalid Time" error="Enter time as HH:MM (e.g. 09:30) or leave blank" sqref="P352">
      <formula1>OR(P352="",AND(LEN(P352)=5,MID(P352,3,1)=":",ISNUMBER(VALUE(LEFT(P352,2))),ISNUMBER(VALUE(RIGHT(P352,2))),VALUE(LEFT(P352,2))&lt;=23,VALUE(RIGHT(P352,2))&lt;=59))</formula1>
    </dataValidation>
    <dataValidation type="custom" showErrorMessage="1" errorStyle="stop" errorTitle="Invalid Time" error="Enter time as HH:MM (e.g. 09:30) or leave blank" sqref="P353">
      <formula1>OR(P353="",AND(LEN(P353)=5,MID(P353,3,1)=":",ISNUMBER(VALUE(LEFT(P353,2))),ISNUMBER(VALUE(RIGHT(P353,2))),VALUE(LEFT(P353,2))&lt;=23,VALUE(RIGHT(P353,2))&lt;=59))</formula1>
    </dataValidation>
    <dataValidation type="custom" showErrorMessage="1" errorStyle="stop" errorTitle="Invalid Time" error="Enter time as HH:MM (e.g. 09:30) or leave blank" sqref="P354">
      <formula1>OR(P354="",AND(LEN(P354)=5,MID(P354,3,1)=":",ISNUMBER(VALUE(LEFT(P354,2))),ISNUMBER(VALUE(RIGHT(P354,2))),VALUE(LEFT(P354,2))&lt;=23,VALUE(RIGHT(P354,2))&lt;=59))</formula1>
    </dataValidation>
    <dataValidation type="custom" showErrorMessage="1" errorStyle="stop" errorTitle="Invalid Time" error="Enter time as HH:MM (e.g. 09:30) or leave blank" sqref="P355">
      <formula1>OR(P355="",AND(LEN(P355)=5,MID(P355,3,1)=":",ISNUMBER(VALUE(LEFT(P355,2))),ISNUMBER(VALUE(RIGHT(P355,2))),VALUE(LEFT(P355,2))&lt;=23,VALUE(RIGHT(P355,2))&lt;=59))</formula1>
    </dataValidation>
    <dataValidation type="custom" showErrorMessage="1" errorStyle="stop" errorTitle="Invalid Time" error="Enter time as HH:MM (e.g. 09:30) or leave blank" sqref="P356">
      <formula1>OR(P356="",AND(LEN(P356)=5,MID(P356,3,1)=":",ISNUMBER(VALUE(LEFT(P356,2))),ISNUMBER(VALUE(RIGHT(P356,2))),VALUE(LEFT(P356,2))&lt;=23,VALUE(RIGHT(P356,2))&lt;=59))</formula1>
    </dataValidation>
    <dataValidation type="custom" showErrorMessage="1" errorStyle="stop" errorTitle="Invalid Time" error="Enter time as HH:MM (e.g. 09:30) or leave blank" sqref="P357">
      <formula1>OR(P357="",AND(LEN(P357)=5,MID(P357,3,1)=":",ISNUMBER(VALUE(LEFT(P357,2))),ISNUMBER(VALUE(RIGHT(P357,2))),VALUE(LEFT(P357,2))&lt;=23,VALUE(RIGHT(P357,2))&lt;=59))</formula1>
    </dataValidation>
    <dataValidation type="custom" showErrorMessage="1" errorStyle="stop" errorTitle="Invalid Time" error="Enter time as HH:MM (e.g. 09:30) or leave blank" sqref="P358">
      <formula1>OR(P358="",AND(LEN(P358)=5,MID(P358,3,1)=":",ISNUMBER(VALUE(LEFT(P358,2))),ISNUMBER(VALUE(RIGHT(P358,2))),VALUE(LEFT(P358,2))&lt;=23,VALUE(RIGHT(P358,2))&lt;=59))</formula1>
    </dataValidation>
    <dataValidation type="custom" showErrorMessage="1" errorStyle="stop" errorTitle="Invalid Time" error="Enter time as HH:MM (e.g. 09:30) or leave blank" sqref="P359">
      <formula1>OR(P359="",AND(LEN(P359)=5,MID(P359,3,1)=":",ISNUMBER(VALUE(LEFT(P359,2))),ISNUMBER(VALUE(RIGHT(P359,2))),VALUE(LEFT(P359,2))&lt;=23,VALUE(RIGHT(P359,2))&lt;=59))</formula1>
    </dataValidation>
    <dataValidation type="custom" showErrorMessage="1" errorStyle="stop" errorTitle="Invalid Time" error="Enter time as HH:MM (e.g. 09:30) or leave blank" sqref="P36">
      <formula1>OR(P36="",AND(LEN(P36)=5,MID(P36,3,1)=":",ISNUMBER(VALUE(LEFT(P36,2))),ISNUMBER(VALUE(RIGHT(P36,2))),VALUE(LEFT(P36,2))&lt;=23,VALUE(RIGHT(P36,2))&lt;=59))</formula1>
    </dataValidation>
    <dataValidation type="custom" showErrorMessage="1" errorStyle="stop" errorTitle="Invalid Time" error="Enter time as HH:MM (e.g. 09:30) or leave blank" sqref="P360">
      <formula1>OR(P360="",AND(LEN(P360)=5,MID(P360,3,1)=":",ISNUMBER(VALUE(LEFT(P360,2))),ISNUMBER(VALUE(RIGHT(P360,2))),VALUE(LEFT(P360,2))&lt;=23,VALUE(RIGHT(P360,2))&lt;=59))</formula1>
    </dataValidation>
    <dataValidation type="custom" showErrorMessage="1" errorStyle="stop" errorTitle="Invalid Time" error="Enter time as HH:MM (e.g. 09:30) or leave blank" sqref="P361">
      <formula1>OR(P361="",AND(LEN(P361)=5,MID(P361,3,1)=":",ISNUMBER(VALUE(LEFT(P361,2))),ISNUMBER(VALUE(RIGHT(P361,2))),VALUE(LEFT(P361,2))&lt;=23,VALUE(RIGHT(P361,2))&lt;=59))</formula1>
    </dataValidation>
    <dataValidation type="custom" showErrorMessage="1" errorStyle="stop" errorTitle="Invalid Time" error="Enter time as HH:MM (e.g. 09:30) or leave blank" sqref="P362">
      <formula1>OR(P362="",AND(LEN(P362)=5,MID(P362,3,1)=":",ISNUMBER(VALUE(LEFT(P362,2))),ISNUMBER(VALUE(RIGHT(P362,2))),VALUE(LEFT(P362,2))&lt;=23,VALUE(RIGHT(P362,2))&lt;=59))</formula1>
    </dataValidation>
    <dataValidation type="custom" showErrorMessage="1" errorStyle="stop" errorTitle="Invalid Time" error="Enter time as HH:MM (e.g. 09:30) or leave blank" sqref="P363">
      <formula1>OR(P363="",AND(LEN(P363)=5,MID(P363,3,1)=":",ISNUMBER(VALUE(LEFT(P363,2))),ISNUMBER(VALUE(RIGHT(P363,2))),VALUE(LEFT(P363,2))&lt;=23,VALUE(RIGHT(P363,2))&lt;=59))</formula1>
    </dataValidation>
    <dataValidation type="custom" showErrorMessage="1" errorStyle="stop" errorTitle="Invalid Time" error="Enter time as HH:MM (e.g. 09:30) or leave blank" sqref="P364">
      <formula1>OR(P364="",AND(LEN(P364)=5,MID(P364,3,1)=":",ISNUMBER(VALUE(LEFT(P364,2))),ISNUMBER(VALUE(RIGHT(P364,2))),VALUE(LEFT(P364,2))&lt;=23,VALUE(RIGHT(P364,2))&lt;=59))</formula1>
    </dataValidation>
    <dataValidation type="custom" showErrorMessage="1" errorStyle="stop" errorTitle="Invalid Time" error="Enter time as HH:MM (e.g. 09:30) or leave blank" sqref="P365">
      <formula1>OR(P365="",AND(LEN(P365)=5,MID(P365,3,1)=":",ISNUMBER(VALUE(LEFT(P365,2))),ISNUMBER(VALUE(RIGHT(P365,2))),VALUE(LEFT(P365,2))&lt;=23,VALUE(RIGHT(P365,2))&lt;=59))</formula1>
    </dataValidation>
    <dataValidation type="custom" showErrorMessage="1" errorStyle="stop" errorTitle="Invalid Time" error="Enter time as HH:MM (e.g. 09:30) or leave blank" sqref="P366">
      <formula1>OR(P366="",AND(LEN(P366)=5,MID(P366,3,1)=":",ISNUMBER(VALUE(LEFT(P366,2))),ISNUMBER(VALUE(RIGHT(P366,2))),VALUE(LEFT(P366,2))&lt;=23,VALUE(RIGHT(P366,2))&lt;=59))</formula1>
    </dataValidation>
    <dataValidation type="custom" showErrorMessage="1" errorStyle="stop" errorTitle="Invalid Time" error="Enter time as HH:MM (e.g. 09:30) or leave blank" sqref="P367">
      <formula1>OR(P367="",AND(LEN(P367)=5,MID(P367,3,1)=":",ISNUMBER(VALUE(LEFT(P367,2))),ISNUMBER(VALUE(RIGHT(P367,2))),VALUE(LEFT(P367,2))&lt;=23,VALUE(RIGHT(P367,2))&lt;=59))</formula1>
    </dataValidation>
    <dataValidation type="custom" showErrorMessage="1" errorStyle="stop" errorTitle="Invalid Time" error="Enter time as HH:MM (e.g. 09:30) or leave blank" sqref="P368">
      <formula1>OR(P368="",AND(LEN(P368)=5,MID(P368,3,1)=":",ISNUMBER(VALUE(LEFT(P368,2))),ISNUMBER(VALUE(RIGHT(P368,2))),VALUE(LEFT(P368,2))&lt;=23,VALUE(RIGHT(P368,2))&lt;=59))</formula1>
    </dataValidation>
    <dataValidation type="custom" showErrorMessage="1" errorStyle="stop" errorTitle="Invalid Time" error="Enter time as HH:MM (e.g. 09:30) or leave blank" sqref="P369">
      <formula1>OR(P369="",AND(LEN(P369)=5,MID(P369,3,1)=":",ISNUMBER(VALUE(LEFT(P369,2))),ISNUMBER(VALUE(RIGHT(P369,2))),VALUE(LEFT(P369,2))&lt;=23,VALUE(RIGHT(P369,2))&lt;=59))</formula1>
    </dataValidation>
    <dataValidation type="custom" showErrorMessage="1" errorStyle="stop" errorTitle="Invalid Time" error="Enter time as HH:MM (e.g. 09:30) or leave blank" sqref="P37">
      <formula1>OR(P37="",AND(LEN(P37)=5,MID(P37,3,1)=":",ISNUMBER(VALUE(LEFT(P37,2))),ISNUMBER(VALUE(RIGHT(P37,2))),VALUE(LEFT(P37,2))&lt;=23,VALUE(RIGHT(P37,2))&lt;=59))</formula1>
    </dataValidation>
    <dataValidation type="custom" showErrorMessage="1" errorStyle="stop" errorTitle="Invalid Time" error="Enter time as HH:MM (e.g. 09:30) or leave blank" sqref="P370">
      <formula1>OR(P370="",AND(LEN(P370)=5,MID(P370,3,1)=":",ISNUMBER(VALUE(LEFT(P370,2))),ISNUMBER(VALUE(RIGHT(P370,2))),VALUE(LEFT(P370,2))&lt;=23,VALUE(RIGHT(P370,2))&lt;=59))</formula1>
    </dataValidation>
    <dataValidation type="custom" showErrorMessage="1" errorStyle="stop" errorTitle="Invalid Time" error="Enter time as HH:MM (e.g. 09:30) or leave blank" sqref="P371">
      <formula1>OR(P371="",AND(LEN(P371)=5,MID(P371,3,1)=":",ISNUMBER(VALUE(LEFT(P371,2))),ISNUMBER(VALUE(RIGHT(P371,2))),VALUE(LEFT(P371,2))&lt;=23,VALUE(RIGHT(P371,2))&lt;=59))</formula1>
    </dataValidation>
    <dataValidation type="custom" showErrorMessage="1" errorStyle="stop" errorTitle="Invalid Time" error="Enter time as HH:MM (e.g. 09:30) or leave blank" sqref="P372">
      <formula1>OR(P372="",AND(LEN(P372)=5,MID(P372,3,1)=":",ISNUMBER(VALUE(LEFT(P372,2))),ISNUMBER(VALUE(RIGHT(P372,2))),VALUE(LEFT(P372,2))&lt;=23,VALUE(RIGHT(P372,2))&lt;=59))</formula1>
    </dataValidation>
    <dataValidation type="custom" showErrorMessage="1" errorStyle="stop" errorTitle="Invalid Time" error="Enter time as HH:MM (e.g. 09:30) or leave blank" sqref="P373">
      <formula1>OR(P373="",AND(LEN(P373)=5,MID(P373,3,1)=":",ISNUMBER(VALUE(LEFT(P373,2))),ISNUMBER(VALUE(RIGHT(P373,2))),VALUE(LEFT(P373,2))&lt;=23,VALUE(RIGHT(P373,2))&lt;=59))</formula1>
    </dataValidation>
    <dataValidation type="custom" showErrorMessage="1" errorStyle="stop" errorTitle="Invalid Time" error="Enter time as HH:MM (e.g. 09:30) or leave blank" sqref="P374">
      <formula1>OR(P374="",AND(LEN(P374)=5,MID(P374,3,1)=":",ISNUMBER(VALUE(LEFT(P374,2))),ISNUMBER(VALUE(RIGHT(P374,2))),VALUE(LEFT(P374,2))&lt;=23,VALUE(RIGHT(P374,2))&lt;=59))</formula1>
    </dataValidation>
    <dataValidation type="custom" showErrorMessage="1" errorStyle="stop" errorTitle="Invalid Time" error="Enter time as HH:MM (e.g. 09:30) or leave blank" sqref="P375">
      <formula1>OR(P375="",AND(LEN(P375)=5,MID(P375,3,1)=":",ISNUMBER(VALUE(LEFT(P375,2))),ISNUMBER(VALUE(RIGHT(P375,2))),VALUE(LEFT(P375,2))&lt;=23,VALUE(RIGHT(P375,2))&lt;=59))</formula1>
    </dataValidation>
    <dataValidation type="custom" showErrorMessage="1" errorStyle="stop" errorTitle="Invalid Time" error="Enter time as HH:MM (e.g. 09:30) or leave blank" sqref="P376">
      <formula1>OR(P376="",AND(LEN(P376)=5,MID(P376,3,1)=":",ISNUMBER(VALUE(LEFT(P376,2))),ISNUMBER(VALUE(RIGHT(P376,2))),VALUE(LEFT(P376,2))&lt;=23,VALUE(RIGHT(P376,2))&lt;=59))</formula1>
    </dataValidation>
    <dataValidation type="custom" showErrorMessage="1" errorStyle="stop" errorTitle="Invalid Time" error="Enter time as HH:MM (e.g. 09:30) or leave blank" sqref="P377">
      <formula1>OR(P377="",AND(LEN(P377)=5,MID(P377,3,1)=":",ISNUMBER(VALUE(LEFT(P377,2))),ISNUMBER(VALUE(RIGHT(P377,2))),VALUE(LEFT(P377,2))&lt;=23,VALUE(RIGHT(P377,2))&lt;=59))</formula1>
    </dataValidation>
    <dataValidation type="custom" showErrorMessage="1" errorStyle="stop" errorTitle="Invalid Time" error="Enter time as HH:MM (e.g. 09:30) or leave blank" sqref="P378">
      <formula1>OR(P378="",AND(LEN(P378)=5,MID(P378,3,1)=":",ISNUMBER(VALUE(LEFT(P378,2))),ISNUMBER(VALUE(RIGHT(P378,2))),VALUE(LEFT(P378,2))&lt;=23,VALUE(RIGHT(P378,2))&lt;=59))</formula1>
    </dataValidation>
    <dataValidation type="custom" showErrorMessage="1" errorStyle="stop" errorTitle="Invalid Time" error="Enter time as HH:MM (e.g. 09:30) or leave blank" sqref="P379">
      <formula1>OR(P379="",AND(LEN(P379)=5,MID(P379,3,1)=":",ISNUMBER(VALUE(LEFT(P379,2))),ISNUMBER(VALUE(RIGHT(P379,2))),VALUE(LEFT(P379,2))&lt;=23,VALUE(RIGHT(P379,2))&lt;=59))</formula1>
    </dataValidation>
    <dataValidation type="custom" showErrorMessage="1" errorStyle="stop" errorTitle="Invalid Time" error="Enter time as HH:MM (e.g. 09:30) or leave blank" sqref="P38">
      <formula1>OR(P38="",AND(LEN(P38)=5,MID(P38,3,1)=":",ISNUMBER(VALUE(LEFT(P38,2))),ISNUMBER(VALUE(RIGHT(P38,2))),VALUE(LEFT(P38,2))&lt;=23,VALUE(RIGHT(P38,2))&lt;=59))</formula1>
    </dataValidation>
    <dataValidation type="custom" showErrorMessage="1" errorStyle="stop" errorTitle="Invalid Time" error="Enter time as HH:MM (e.g. 09:30) or leave blank" sqref="P380">
      <formula1>OR(P380="",AND(LEN(P380)=5,MID(P380,3,1)=":",ISNUMBER(VALUE(LEFT(P380,2))),ISNUMBER(VALUE(RIGHT(P380,2))),VALUE(LEFT(P380,2))&lt;=23,VALUE(RIGHT(P380,2))&lt;=59))</formula1>
    </dataValidation>
    <dataValidation type="custom" showErrorMessage="1" errorStyle="stop" errorTitle="Invalid Time" error="Enter time as HH:MM (e.g. 09:30) or leave blank" sqref="P381">
      <formula1>OR(P381="",AND(LEN(P381)=5,MID(P381,3,1)=":",ISNUMBER(VALUE(LEFT(P381,2))),ISNUMBER(VALUE(RIGHT(P381,2))),VALUE(LEFT(P381,2))&lt;=23,VALUE(RIGHT(P381,2))&lt;=59))</formula1>
    </dataValidation>
    <dataValidation type="custom" showErrorMessage="1" errorStyle="stop" errorTitle="Invalid Time" error="Enter time as HH:MM (e.g. 09:30) or leave blank" sqref="P382">
      <formula1>OR(P382="",AND(LEN(P382)=5,MID(P382,3,1)=":",ISNUMBER(VALUE(LEFT(P382,2))),ISNUMBER(VALUE(RIGHT(P382,2))),VALUE(LEFT(P382,2))&lt;=23,VALUE(RIGHT(P382,2))&lt;=59))</formula1>
    </dataValidation>
    <dataValidation type="custom" showErrorMessage="1" errorStyle="stop" errorTitle="Invalid Time" error="Enter time as HH:MM (e.g. 09:30) or leave blank" sqref="P383">
      <formula1>OR(P383="",AND(LEN(P383)=5,MID(P383,3,1)=":",ISNUMBER(VALUE(LEFT(P383,2))),ISNUMBER(VALUE(RIGHT(P383,2))),VALUE(LEFT(P383,2))&lt;=23,VALUE(RIGHT(P383,2))&lt;=59))</formula1>
    </dataValidation>
    <dataValidation type="custom" showErrorMessage="1" errorStyle="stop" errorTitle="Invalid Time" error="Enter time as HH:MM (e.g. 09:30) or leave blank" sqref="P384">
      <formula1>OR(P384="",AND(LEN(P384)=5,MID(P384,3,1)=":",ISNUMBER(VALUE(LEFT(P384,2))),ISNUMBER(VALUE(RIGHT(P384,2))),VALUE(LEFT(P384,2))&lt;=23,VALUE(RIGHT(P384,2))&lt;=59))</formula1>
    </dataValidation>
    <dataValidation type="custom" showErrorMessage="1" errorStyle="stop" errorTitle="Invalid Time" error="Enter time as HH:MM (e.g. 09:30) or leave blank" sqref="P385">
      <formula1>OR(P385="",AND(LEN(P385)=5,MID(P385,3,1)=":",ISNUMBER(VALUE(LEFT(P385,2))),ISNUMBER(VALUE(RIGHT(P385,2))),VALUE(LEFT(P385,2))&lt;=23,VALUE(RIGHT(P385,2))&lt;=59))</formula1>
    </dataValidation>
    <dataValidation type="custom" showErrorMessage="1" errorStyle="stop" errorTitle="Invalid Time" error="Enter time as HH:MM (e.g. 09:30) or leave blank" sqref="P386">
      <formula1>OR(P386="",AND(LEN(P386)=5,MID(P386,3,1)=":",ISNUMBER(VALUE(LEFT(P386,2))),ISNUMBER(VALUE(RIGHT(P386,2))),VALUE(LEFT(P386,2))&lt;=23,VALUE(RIGHT(P386,2))&lt;=59))</formula1>
    </dataValidation>
    <dataValidation type="custom" showErrorMessage="1" errorStyle="stop" errorTitle="Invalid Time" error="Enter time as HH:MM (e.g. 09:30) or leave blank" sqref="P387">
      <formula1>OR(P387="",AND(LEN(P387)=5,MID(P387,3,1)=":",ISNUMBER(VALUE(LEFT(P387,2))),ISNUMBER(VALUE(RIGHT(P387,2))),VALUE(LEFT(P387,2))&lt;=23,VALUE(RIGHT(P387,2))&lt;=59))</formula1>
    </dataValidation>
    <dataValidation type="custom" showErrorMessage="1" errorStyle="stop" errorTitle="Invalid Time" error="Enter time as HH:MM (e.g. 09:30) or leave blank" sqref="P388">
      <formula1>OR(P388="",AND(LEN(P388)=5,MID(P388,3,1)=":",ISNUMBER(VALUE(LEFT(P388,2))),ISNUMBER(VALUE(RIGHT(P388,2))),VALUE(LEFT(P388,2))&lt;=23,VALUE(RIGHT(P388,2))&lt;=59))</formula1>
    </dataValidation>
    <dataValidation type="custom" showErrorMessage="1" errorStyle="stop" errorTitle="Invalid Time" error="Enter time as HH:MM (e.g. 09:30) or leave blank" sqref="P389">
      <formula1>OR(P389="",AND(LEN(P389)=5,MID(P389,3,1)=":",ISNUMBER(VALUE(LEFT(P389,2))),ISNUMBER(VALUE(RIGHT(P389,2))),VALUE(LEFT(P389,2))&lt;=23,VALUE(RIGHT(P389,2))&lt;=59))</formula1>
    </dataValidation>
    <dataValidation type="custom" showErrorMessage="1" errorStyle="stop" errorTitle="Invalid Time" error="Enter time as HH:MM (e.g. 09:30) or leave blank" sqref="P39">
      <formula1>OR(P39="",AND(LEN(P39)=5,MID(P39,3,1)=":",ISNUMBER(VALUE(LEFT(P39,2))),ISNUMBER(VALUE(RIGHT(P39,2))),VALUE(LEFT(P39,2))&lt;=23,VALUE(RIGHT(P39,2))&lt;=59))</formula1>
    </dataValidation>
    <dataValidation type="custom" showErrorMessage="1" errorStyle="stop" errorTitle="Invalid Time" error="Enter time as HH:MM (e.g. 09:30) or leave blank" sqref="P390">
      <formula1>OR(P390="",AND(LEN(P390)=5,MID(P390,3,1)=":",ISNUMBER(VALUE(LEFT(P390,2))),ISNUMBER(VALUE(RIGHT(P390,2))),VALUE(LEFT(P390,2))&lt;=23,VALUE(RIGHT(P390,2))&lt;=59))</formula1>
    </dataValidation>
    <dataValidation type="custom" showErrorMessage="1" errorStyle="stop" errorTitle="Invalid Time" error="Enter time as HH:MM (e.g. 09:30) or leave blank" sqref="P391">
      <formula1>OR(P391="",AND(LEN(P391)=5,MID(P391,3,1)=":",ISNUMBER(VALUE(LEFT(P391,2))),ISNUMBER(VALUE(RIGHT(P391,2))),VALUE(LEFT(P391,2))&lt;=23,VALUE(RIGHT(P391,2))&lt;=59))</formula1>
    </dataValidation>
    <dataValidation type="custom" showErrorMessage="1" errorStyle="stop" errorTitle="Invalid Time" error="Enter time as HH:MM (e.g. 09:30) or leave blank" sqref="P392">
      <formula1>OR(P392="",AND(LEN(P392)=5,MID(P392,3,1)=":",ISNUMBER(VALUE(LEFT(P392,2))),ISNUMBER(VALUE(RIGHT(P392,2))),VALUE(LEFT(P392,2))&lt;=23,VALUE(RIGHT(P392,2))&lt;=59))</formula1>
    </dataValidation>
    <dataValidation type="custom" showErrorMessage="1" errorStyle="stop" errorTitle="Invalid Time" error="Enter time as HH:MM (e.g. 09:30) or leave blank" sqref="P393">
      <formula1>OR(P393="",AND(LEN(P393)=5,MID(P393,3,1)=":",ISNUMBER(VALUE(LEFT(P393,2))),ISNUMBER(VALUE(RIGHT(P393,2))),VALUE(LEFT(P393,2))&lt;=23,VALUE(RIGHT(P393,2))&lt;=59))</formula1>
    </dataValidation>
    <dataValidation type="custom" showErrorMessage="1" errorStyle="stop" errorTitle="Invalid Time" error="Enter time as HH:MM (e.g. 09:30) or leave blank" sqref="P394">
      <formula1>OR(P394="",AND(LEN(P394)=5,MID(P394,3,1)=":",ISNUMBER(VALUE(LEFT(P394,2))),ISNUMBER(VALUE(RIGHT(P394,2))),VALUE(LEFT(P394,2))&lt;=23,VALUE(RIGHT(P394,2))&lt;=59))</formula1>
    </dataValidation>
    <dataValidation type="custom" showErrorMessage="1" errorStyle="stop" errorTitle="Invalid Time" error="Enter time as HH:MM (e.g. 09:30) or leave blank" sqref="P395">
      <formula1>OR(P395="",AND(LEN(P395)=5,MID(P395,3,1)=":",ISNUMBER(VALUE(LEFT(P395,2))),ISNUMBER(VALUE(RIGHT(P395,2))),VALUE(LEFT(P395,2))&lt;=23,VALUE(RIGHT(P395,2))&lt;=59))</formula1>
    </dataValidation>
    <dataValidation type="custom" showErrorMessage="1" errorStyle="stop" errorTitle="Invalid Time" error="Enter time as HH:MM (e.g. 09:30) or leave blank" sqref="P396">
      <formula1>OR(P396="",AND(LEN(P396)=5,MID(P396,3,1)=":",ISNUMBER(VALUE(LEFT(P396,2))),ISNUMBER(VALUE(RIGHT(P396,2))),VALUE(LEFT(P396,2))&lt;=23,VALUE(RIGHT(P396,2))&lt;=59))</formula1>
    </dataValidation>
    <dataValidation type="custom" showErrorMessage="1" errorStyle="stop" errorTitle="Invalid Time" error="Enter time as HH:MM (e.g. 09:30) or leave blank" sqref="P397">
      <formula1>OR(P397="",AND(LEN(P397)=5,MID(P397,3,1)=":",ISNUMBER(VALUE(LEFT(P397,2))),ISNUMBER(VALUE(RIGHT(P397,2))),VALUE(LEFT(P397,2))&lt;=23,VALUE(RIGHT(P397,2))&lt;=59))</formula1>
    </dataValidation>
    <dataValidation type="custom" showErrorMessage="1" errorStyle="stop" errorTitle="Invalid Time" error="Enter time as HH:MM (e.g. 09:30) or leave blank" sqref="P398">
      <formula1>OR(P398="",AND(LEN(P398)=5,MID(P398,3,1)=":",ISNUMBER(VALUE(LEFT(P398,2))),ISNUMBER(VALUE(RIGHT(P398,2))),VALUE(LEFT(P398,2))&lt;=23,VALUE(RIGHT(P398,2))&lt;=59))</formula1>
    </dataValidation>
    <dataValidation type="custom" showErrorMessage="1" errorStyle="stop" errorTitle="Invalid Time" error="Enter time as HH:MM (e.g. 09:30) or leave blank" sqref="P399">
      <formula1>OR(P399="",AND(LEN(P399)=5,MID(P399,3,1)=":",ISNUMBER(VALUE(LEFT(P399,2))),ISNUMBER(VALUE(RIGHT(P399,2))),VALUE(LEFT(P399,2))&lt;=23,VALUE(RIGHT(P399,2))&lt;=59))</formula1>
    </dataValidation>
    <dataValidation type="custom" showErrorMessage="1" errorStyle="stop" errorTitle="Invalid Time" error="Enter time as HH:MM (e.g. 09:30) or leave blank" sqref="P4">
      <formula1>OR(P4="",AND(LEN(P4)=5,MID(P4,3,1)=":",ISNUMBER(VALUE(LEFT(P4,2))),ISNUMBER(VALUE(RIGHT(P4,2))),VALUE(LEFT(P4,2))&lt;=23,VALUE(RIGHT(P4,2))&lt;=59))</formula1>
    </dataValidation>
    <dataValidation type="custom" showErrorMessage="1" errorStyle="stop" errorTitle="Invalid Time" error="Enter time as HH:MM (e.g. 09:30) or leave blank" sqref="P40">
      <formula1>OR(P40="",AND(LEN(P40)=5,MID(P40,3,1)=":",ISNUMBER(VALUE(LEFT(P40,2))),ISNUMBER(VALUE(RIGHT(P40,2))),VALUE(LEFT(P40,2))&lt;=23,VALUE(RIGHT(P40,2))&lt;=59))</formula1>
    </dataValidation>
    <dataValidation type="custom" showErrorMessage="1" errorStyle="stop" errorTitle="Invalid Time" error="Enter time as HH:MM (e.g. 09:30) or leave blank" sqref="P400">
      <formula1>OR(P400="",AND(LEN(P400)=5,MID(P400,3,1)=":",ISNUMBER(VALUE(LEFT(P400,2))),ISNUMBER(VALUE(RIGHT(P400,2))),VALUE(LEFT(P400,2))&lt;=23,VALUE(RIGHT(P400,2))&lt;=59))</formula1>
    </dataValidation>
    <dataValidation type="custom" showErrorMessage="1" errorStyle="stop" errorTitle="Invalid Time" error="Enter time as HH:MM (e.g. 09:30) or leave blank" sqref="P401">
      <formula1>OR(P401="",AND(LEN(P401)=5,MID(P401,3,1)=":",ISNUMBER(VALUE(LEFT(P401,2))),ISNUMBER(VALUE(RIGHT(P401,2))),VALUE(LEFT(P401,2))&lt;=23,VALUE(RIGHT(P401,2))&lt;=59))</formula1>
    </dataValidation>
    <dataValidation type="custom" showErrorMessage="1" errorStyle="stop" errorTitle="Invalid Time" error="Enter time as HH:MM (e.g. 09:30) or leave blank" sqref="P402">
      <formula1>OR(P402="",AND(LEN(P402)=5,MID(P402,3,1)=":",ISNUMBER(VALUE(LEFT(P402,2))),ISNUMBER(VALUE(RIGHT(P402,2))),VALUE(LEFT(P402,2))&lt;=23,VALUE(RIGHT(P402,2))&lt;=59))</formula1>
    </dataValidation>
    <dataValidation type="custom" showErrorMessage="1" errorStyle="stop" errorTitle="Invalid Time" error="Enter time as HH:MM (e.g. 09:30) or leave blank" sqref="P403">
      <formula1>OR(P403="",AND(LEN(P403)=5,MID(P403,3,1)=":",ISNUMBER(VALUE(LEFT(P403,2))),ISNUMBER(VALUE(RIGHT(P403,2))),VALUE(LEFT(P403,2))&lt;=23,VALUE(RIGHT(P403,2))&lt;=59))</formula1>
    </dataValidation>
    <dataValidation type="custom" showErrorMessage="1" errorStyle="stop" errorTitle="Invalid Time" error="Enter time as HH:MM (e.g. 09:30) or leave blank" sqref="P404">
      <formula1>OR(P404="",AND(LEN(P404)=5,MID(P404,3,1)=":",ISNUMBER(VALUE(LEFT(P404,2))),ISNUMBER(VALUE(RIGHT(P404,2))),VALUE(LEFT(P404,2))&lt;=23,VALUE(RIGHT(P404,2))&lt;=59))</formula1>
    </dataValidation>
    <dataValidation type="custom" showErrorMessage="1" errorStyle="stop" errorTitle="Invalid Time" error="Enter time as HH:MM (e.g. 09:30) or leave blank" sqref="P405">
      <formula1>OR(P405="",AND(LEN(P405)=5,MID(P405,3,1)=":",ISNUMBER(VALUE(LEFT(P405,2))),ISNUMBER(VALUE(RIGHT(P405,2))),VALUE(LEFT(P405,2))&lt;=23,VALUE(RIGHT(P405,2))&lt;=59))</formula1>
    </dataValidation>
    <dataValidation type="custom" showErrorMessage="1" errorStyle="stop" errorTitle="Invalid Time" error="Enter time as HH:MM (e.g. 09:30) or leave blank" sqref="P406">
      <formula1>OR(P406="",AND(LEN(P406)=5,MID(P406,3,1)=":",ISNUMBER(VALUE(LEFT(P406,2))),ISNUMBER(VALUE(RIGHT(P406,2))),VALUE(LEFT(P406,2))&lt;=23,VALUE(RIGHT(P406,2))&lt;=59))</formula1>
    </dataValidation>
    <dataValidation type="custom" showErrorMessage="1" errorStyle="stop" errorTitle="Invalid Time" error="Enter time as HH:MM (e.g. 09:30) or leave blank" sqref="P407">
      <formula1>OR(P407="",AND(LEN(P407)=5,MID(P407,3,1)=":",ISNUMBER(VALUE(LEFT(P407,2))),ISNUMBER(VALUE(RIGHT(P407,2))),VALUE(LEFT(P407,2))&lt;=23,VALUE(RIGHT(P407,2))&lt;=59))</formula1>
    </dataValidation>
    <dataValidation type="custom" showErrorMessage="1" errorStyle="stop" errorTitle="Invalid Time" error="Enter time as HH:MM (e.g. 09:30) or leave blank" sqref="P408">
      <formula1>OR(P408="",AND(LEN(P408)=5,MID(P408,3,1)=":",ISNUMBER(VALUE(LEFT(P408,2))),ISNUMBER(VALUE(RIGHT(P408,2))),VALUE(LEFT(P408,2))&lt;=23,VALUE(RIGHT(P408,2))&lt;=59))</formula1>
    </dataValidation>
    <dataValidation type="custom" showErrorMessage="1" errorStyle="stop" errorTitle="Invalid Time" error="Enter time as HH:MM (e.g. 09:30) or leave blank" sqref="P409">
      <formula1>OR(P409="",AND(LEN(P409)=5,MID(P409,3,1)=":",ISNUMBER(VALUE(LEFT(P409,2))),ISNUMBER(VALUE(RIGHT(P409,2))),VALUE(LEFT(P409,2))&lt;=23,VALUE(RIGHT(P409,2))&lt;=59))</formula1>
    </dataValidation>
    <dataValidation type="custom" showErrorMessage="1" errorStyle="stop" errorTitle="Invalid Time" error="Enter time as HH:MM (e.g. 09:30) or leave blank" sqref="P41">
      <formula1>OR(P41="",AND(LEN(P41)=5,MID(P41,3,1)=":",ISNUMBER(VALUE(LEFT(P41,2))),ISNUMBER(VALUE(RIGHT(P41,2))),VALUE(LEFT(P41,2))&lt;=23,VALUE(RIGHT(P41,2))&lt;=59))</formula1>
    </dataValidation>
    <dataValidation type="custom" showErrorMessage="1" errorStyle="stop" errorTitle="Invalid Time" error="Enter time as HH:MM (e.g. 09:30) or leave blank" sqref="P410">
      <formula1>OR(P410="",AND(LEN(P410)=5,MID(P410,3,1)=":",ISNUMBER(VALUE(LEFT(P410,2))),ISNUMBER(VALUE(RIGHT(P410,2))),VALUE(LEFT(P410,2))&lt;=23,VALUE(RIGHT(P410,2))&lt;=59))</formula1>
    </dataValidation>
    <dataValidation type="custom" showErrorMessage="1" errorStyle="stop" errorTitle="Invalid Time" error="Enter time as HH:MM (e.g. 09:30) or leave blank" sqref="P411">
      <formula1>OR(P411="",AND(LEN(P411)=5,MID(P411,3,1)=":",ISNUMBER(VALUE(LEFT(P411,2))),ISNUMBER(VALUE(RIGHT(P411,2))),VALUE(LEFT(P411,2))&lt;=23,VALUE(RIGHT(P411,2))&lt;=59))</formula1>
    </dataValidation>
    <dataValidation type="custom" showErrorMessage="1" errorStyle="stop" errorTitle="Invalid Time" error="Enter time as HH:MM (e.g. 09:30) or leave blank" sqref="P412">
      <formula1>OR(P412="",AND(LEN(P412)=5,MID(P412,3,1)=":",ISNUMBER(VALUE(LEFT(P412,2))),ISNUMBER(VALUE(RIGHT(P412,2))),VALUE(LEFT(P412,2))&lt;=23,VALUE(RIGHT(P412,2))&lt;=59))</formula1>
    </dataValidation>
    <dataValidation type="custom" showErrorMessage="1" errorStyle="stop" errorTitle="Invalid Time" error="Enter time as HH:MM (e.g. 09:30) or leave blank" sqref="P413">
      <formula1>OR(P413="",AND(LEN(P413)=5,MID(P413,3,1)=":",ISNUMBER(VALUE(LEFT(P413,2))),ISNUMBER(VALUE(RIGHT(P413,2))),VALUE(LEFT(P413,2))&lt;=23,VALUE(RIGHT(P413,2))&lt;=59))</formula1>
    </dataValidation>
    <dataValidation type="custom" showErrorMessage="1" errorStyle="stop" errorTitle="Invalid Time" error="Enter time as HH:MM (e.g. 09:30) or leave blank" sqref="P414">
      <formula1>OR(P414="",AND(LEN(P414)=5,MID(P414,3,1)=":",ISNUMBER(VALUE(LEFT(P414,2))),ISNUMBER(VALUE(RIGHT(P414,2))),VALUE(LEFT(P414,2))&lt;=23,VALUE(RIGHT(P414,2))&lt;=59))</formula1>
    </dataValidation>
    <dataValidation type="custom" showErrorMessage="1" errorStyle="stop" errorTitle="Invalid Time" error="Enter time as HH:MM (e.g. 09:30) or leave blank" sqref="P415">
      <formula1>OR(P415="",AND(LEN(P415)=5,MID(P415,3,1)=":",ISNUMBER(VALUE(LEFT(P415,2))),ISNUMBER(VALUE(RIGHT(P415,2))),VALUE(LEFT(P415,2))&lt;=23,VALUE(RIGHT(P415,2))&lt;=59))</formula1>
    </dataValidation>
    <dataValidation type="custom" showErrorMessage="1" errorStyle="stop" errorTitle="Invalid Time" error="Enter time as HH:MM (e.g. 09:30) or leave blank" sqref="P416">
      <formula1>OR(P416="",AND(LEN(P416)=5,MID(P416,3,1)=":",ISNUMBER(VALUE(LEFT(P416,2))),ISNUMBER(VALUE(RIGHT(P416,2))),VALUE(LEFT(P416,2))&lt;=23,VALUE(RIGHT(P416,2))&lt;=59))</formula1>
    </dataValidation>
    <dataValidation type="custom" showErrorMessage="1" errorStyle="stop" errorTitle="Invalid Time" error="Enter time as HH:MM (e.g. 09:30) or leave blank" sqref="P417">
      <formula1>OR(P417="",AND(LEN(P417)=5,MID(P417,3,1)=":",ISNUMBER(VALUE(LEFT(P417,2))),ISNUMBER(VALUE(RIGHT(P417,2))),VALUE(LEFT(P417,2))&lt;=23,VALUE(RIGHT(P417,2))&lt;=59))</formula1>
    </dataValidation>
    <dataValidation type="custom" showErrorMessage="1" errorStyle="stop" errorTitle="Invalid Time" error="Enter time as HH:MM (e.g. 09:30) or leave blank" sqref="P418">
      <formula1>OR(P418="",AND(LEN(P418)=5,MID(P418,3,1)=":",ISNUMBER(VALUE(LEFT(P418,2))),ISNUMBER(VALUE(RIGHT(P418,2))),VALUE(LEFT(P418,2))&lt;=23,VALUE(RIGHT(P418,2))&lt;=59))</formula1>
    </dataValidation>
    <dataValidation type="custom" showErrorMessage="1" errorStyle="stop" errorTitle="Invalid Time" error="Enter time as HH:MM (e.g. 09:30) or leave blank" sqref="P419">
      <formula1>OR(P419="",AND(LEN(P419)=5,MID(P419,3,1)=":",ISNUMBER(VALUE(LEFT(P419,2))),ISNUMBER(VALUE(RIGHT(P419,2))),VALUE(LEFT(P419,2))&lt;=23,VALUE(RIGHT(P419,2))&lt;=59))</formula1>
    </dataValidation>
    <dataValidation type="custom" showErrorMessage="1" errorStyle="stop" errorTitle="Invalid Time" error="Enter time as HH:MM (e.g. 09:30) or leave blank" sqref="P42">
      <formula1>OR(P42="",AND(LEN(P42)=5,MID(P42,3,1)=":",ISNUMBER(VALUE(LEFT(P42,2))),ISNUMBER(VALUE(RIGHT(P42,2))),VALUE(LEFT(P42,2))&lt;=23,VALUE(RIGHT(P42,2))&lt;=59))</formula1>
    </dataValidation>
    <dataValidation type="custom" showErrorMessage="1" errorStyle="stop" errorTitle="Invalid Time" error="Enter time as HH:MM (e.g. 09:30) or leave blank" sqref="P420">
      <formula1>OR(P420="",AND(LEN(P420)=5,MID(P420,3,1)=":",ISNUMBER(VALUE(LEFT(P420,2))),ISNUMBER(VALUE(RIGHT(P420,2))),VALUE(LEFT(P420,2))&lt;=23,VALUE(RIGHT(P420,2))&lt;=59))</formula1>
    </dataValidation>
    <dataValidation type="custom" showErrorMessage="1" errorStyle="stop" errorTitle="Invalid Time" error="Enter time as HH:MM (e.g. 09:30) or leave blank" sqref="P421">
      <formula1>OR(P421="",AND(LEN(P421)=5,MID(P421,3,1)=":",ISNUMBER(VALUE(LEFT(P421,2))),ISNUMBER(VALUE(RIGHT(P421,2))),VALUE(LEFT(P421,2))&lt;=23,VALUE(RIGHT(P421,2))&lt;=59))</formula1>
    </dataValidation>
    <dataValidation type="custom" showErrorMessage="1" errorStyle="stop" errorTitle="Invalid Time" error="Enter time as HH:MM (e.g. 09:30) or leave blank" sqref="P422">
      <formula1>OR(P422="",AND(LEN(P422)=5,MID(P422,3,1)=":",ISNUMBER(VALUE(LEFT(P422,2))),ISNUMBER(VALUE(RIGHT(P422,2))),VALUE(LEFT(P422,2))&lt;=23,VALUE(RIGHT(P422,2))&lt;=59))</formula1>
    </dataValidation>
    <dataValidation type="custom" showErrorMessage="1" errorStyle="stop" errorTitle="Invalid Time" error="Enter time as HH:MM (e.g. 09:30) or leave blank" sqref="P423">
      <formula1>OR(P423="",AND(LEN(P423)=5,MID(P423,3,1)=":",ISNUMBER(VALUE(LEFT(P423,2))),ISNUMBER(VALUE(RIGHT(P423,2))),VALUE(LEFT(P423,2))&lt;=23,VALUE(RIGHT(P423,2))&lt;=59))</formula1>
    </dataValidation>
    <dataValidation type="custom" showErrorMessage="1" errorStyle="stop" errorTitle="Invalid Time" error="Enter time as HH:MM (e.g. 09:30) or leave blank" sqref="P424">
      <formula1>OR(P424="",AND(LEN(P424)=5,MID(P424,3,1)=":",ISNUMBER(VALUE(LEFT(P424,2))),ISNUMBER(VALUE(RIGHT(P424,2))),VALUE(LEFT(P424,2))&lt;=23,VALUE(RIGHT(P424,2))&lt;=59))</formula1>
    </dataValidation>
    <dataValidation type="custom" showErrorMessage="1" errorStyle="stop" errorTitle="Invalid Time" error="Enter time as HH:MM (e.g. 09:30) or leave blank" sqref="P425">
      <formula1>OR(P425="",AND(LEN(P425)=5,MID(P425,3,1)=":",ISNUMBER(VALUE(LEFT(P425,2))),ISNUMBER(VALUE(RIGHT(P425,2))),VALUE(LEFT(P425,2))&lt;=23,VALUE(RIGHT(P425,2))&lt;=59))</formula1>
    </dataValidation>
    <dataValidation type="custom" showErrorMessage="1" errorStyle="stop" errorTitle="Invalid Time" error="Enter time as HH:MM (e.g. 09:30) or leave blank" sqref="P426">
      <formula1>OR(P426="",AND(LEN(P426)=5,MID(P426,3,1)=":",ISNUMBER(VALUE(LEFT(P426,2))),ISNUMBER(VALUE(RIGHT(P426,2))),VALUE(LEFT(P426,2))&lt;=23,VALUE(RIGHT(P426,2))&lt;=59))</formula1>
    </dataValidation>
    <dataValidation type="custom" showErrorMessage="1" errorStyle="stop" errorTitle="Invalid Time" error="Enter time as HH:MM (e.g. 09:30) or leave blank" sqref="P427">
      <formula1>OR(P427="",AND(LEN(P427)=5,MID(P427,3,1)=":",ISNUMBER(VALUE(LEFT(P427,2))),ISNUMBER(VALUE(RIGHT(P427,2))),VALUE(LEFT(P427,2))&lt;=23,VALUE(RIGHT(P427,2))&lt;=59))</formula1>
    </dataValidation>
    <dataValidation type="custom" showErrorMessage="1" errorStyle="stop" errorTitle="Invalid Time" error="Enter time as HH:MM (e.g. 09:30) or leave blank" sqref="P428">
      <formula1>OR(P428="",AND(LEN(P428)=5,MID(P428,3,1)=":",ISNUMBER(VALUE(LEFT(P428,2))),ISNUMBER(VALUE(RIGHT(P428,2))),VALUE(LEFT(P428,2))&lt;=23,VALUE(RIGHT(P428,2))&lt;=59))</formula1>
    </dataValidation>
    <dataValidation type="custom" showErrorMessage="1" errorStyle="stop" errorTitle="Invalid Time" error="Enter time as HH:MM (e.g. 09:30) or leave blank" sqref="P429">
      <formula1>OR(P429="",AND(LEN(P429)=5,MID(P429,3,1)=":",ISNUMBER(VALUE(LEFT(P429,2))),ISNUMBER(VALUE(RIGHT(P429,2))),VALUE(LEFT(P429,2))&lt;=23,VALUE(RIGHT(P429,2))&lt;=59))</formula1>
    </dataValidation>
    <dataValidation type="custom" showErrorMessage="1" errorStyle="stop" errorTitle="Invalid Time" error="Enter time as HH:MM (e.g. 09:30) or leave blank" sqref="P43">
      <formula1>OR(P43="",AND(LEN(P43)=5,MID(P43,3,1)=":",ISNUMBER(VALUE(LEFT(P43,2))),ISNUMBER(VALUE(RIGHT(P43,2))),VALUE(LEFT(P43,2))&lt;=23,VALUE(RIGHT(P43,2))&lt;=59))</formula1>
    </dataValidation>
    <dataValidation type="custom" showErrorMessage="1" errorStyle="stop" errorTitle="Invalid Time" error="Enter time as HH:MM (e.g. 09:30) or leave blank" sqref="P430">
      <formula1>OR(P430="",AND(LEN(P430)=5,MID(P430,3,1)=":",ISNUMBER(VALUE(LEFT(P430,2))),ISNUMBER(VALUE(RIGHT(P430,2))),VALUE(LEFT(P430,2))&lt;=23,VALUE(RIGHT(P430,2))&lt;=59))</formula1>
    </dataValidation>
    <dataValidation type="custom" showErrorMessage="1" errorStyle="stop" errorTitle="Invalid Time" error="Enter time as HH:MM (e.g. 09:30) or leave blank" sqref="P431">
      <formula1>OR(P431="",AND(LEN(P431)=5,MID(P431,3,1)=":",ISNUMBER(VALUE(LEFT(P431,2))),ISNUMBER(VALUE(RIGHT(P431,2))),VALUE(LEFT(P431,2))&lt;=23,VALUE(RIGHT(P431,2))&lt;=59))</formula1>
    </dataValidation>
    <dataValidation type="custom" showErrorMessage="1" errorStyle="stop" errorTitle="Invalid Time" error="Enter time as HH:MM (e.g. 09:30) or leave blank" sqref="P432">
      <formula1>OR(P432="",AND(LEN(P432)=5,MID(P432,3,1)=":",ISNUMBER(VALUE(LEFT(P432,2))),ISNUMBER(VALUE(RIGHT(P432,2))),VALUE(LEFT(P432,2))&lt;=23,VALUE(RIGHT(P432,2))&lt;=59))</formula1>
    </dataValidation>
    <dataValidation type="custom" showErrorMessage="1" errorStyle="stop" errorTitle="Invalid Time" error="Enter time as HH:MM (e.g. 09:30) or leave blank" sqref="P433">
      <formula1>OR(P433="",AND(LEN(P433)=5,MID(P433,3,1)=":",ISNUMBER(VALUE(LEFT(P433,2))),ISNUMBER(VALUE(RIGHT(P433,2))),VALUE(LEFT(P433,2))&lt;=23,VALUE(RIGHT(P433,2))&lt;=59))</formula1>
    </dataValidation>
    <dataValidation type="custom" showErrorMessage="1" errorStyle="stop" errorTitle="Invalid Time" error="Enter time as HH:MM (e.g. 09:30) or leave blank" sqref="P434">
      <formula1>OR(P434="",AND(LEN(P434)=5,MID(P434,3,1)=":",ISNUMBER(VALUE(LEFT(P434,2))),ISNUMBER(VALUE(RIGHT(P434,2))),VALUE(LEFT(P434,2))&lt;=23,VALUE(RIGHT(P434,2))&lt;=59))</formula1>
    </dataValidation>
    <dataValidation type="custom" showErrorMessage="1" errorStyle="stop" errorTitle="Invalid Time" error="Enter time as HH:MM (e.g. 09:30) or leave blank" sqref="P435">
      <formula1>OR(P435="",AND(LEN(P435)=5,MID(P435,3,1)=":",ISNUMBER(VALUE(LEFT(P435,2))),ISNUMBER(VALUE(RIGHT(P435,2))),VALUE(LEFT(P435,2))&lt;=23,VALUE(RIGHT(P435,2))&lt;=59))</formula1>
    </dataValidation>
    <dataValidation type="custom" showErrorMessage="1" errorStyle="stop" errorTitle="Invalid Time" error="Enter time as HH:MM (e.g. 09:30) or leave blank" sqref="P436">
      <formula1>OR(P436="",AND(LEN(P436)=5,MID(P436,3,1)=":",ISNUMBER(VALUE(LEFT(P436,2))),ISNUMBER(VALUE(RIGHT(P436,2))),VALUE(LEFT(P436,2))&lt;=23,VALUE(RIGHT(P436,2))&lt;=59))</formula1>
    </dataValidation>
    <dataValidation type="custom" showErrorMessage="1" errorStyle="stop" errorTitle="Invalid Time" error="Enter time as HH:MM (e.g. 09:30) or leave blank" sqref="P437">
      <formula1>OR(P437="",AND(LEN(P437)=5,MID(P437,3,1)=":",ISNUMBER(VALUE(LEFT(P437,2))),ISNUMBER(VALUE(RIGHT(P437,2))),VALUE(LEFT(P437,2))&lt;=23,VALUE(RIGHT(P437,2))&lt;=59))</formula1>
    </dataValidation>
    <dataValidation type="custom" showErrorMessage="1" errorStyle="stop" errorTitle="Invalid Time" error="Enter time as HH:MM (e.g. 09:30) or leave blank" sqref="P438">
      <formula1>OR(P438="",AND(LEN(P438)=5,MID(P438,3,1)=":",ISNUMBER(VALUE(LEFT(P438,2))),ISNUMBER(VALUE(RIGHT(P438,2))),VALUE(LEFT(P438,2))&lt;=23,VALUE(RIGHT(P438,2))&lt;=59))</formula1>
    </dataValidation>
    <dataValidation type="custom" showErrorMessage="1" errorStyle="stop" errorTitle="Invalid Time" error="Enter time as HH:MM (e.g. 09:30) or leave blank" sqref="P439">
      <formula1>OR(P439="",AND(LEN(P439)=5,MID(P439,3,1)=":",ISNUMBER(VALUE(LEFT(P439,2))),ISNUMBER(VALUE(RIGHT(P439,2))),VALUE(LEFT(P439,2))&lt;=23,VALUE(RIGHT(P439,2))&lt;=59))</formula1>
    </dataValidation>
    <dataValidation type="custom" showErrorMessage="1" errorStyle="stop" errorTitle="Invalid Time" error="Enter time as HH:MM (e.g. 09:30) or leave blank" sqref="P44">
      <formula1>OR(P44="",AND(LEN(P44)=5,MID(P44,3,1)=":",ISNUMBER(VALUE(LEFT(P44,2))),ISNUMBER(VALUE(RIGHT(P44,2))),VALUE(LEFT(P44,2))&lt;=23,VALUE(RIGHT(P44,2))&lt;=59))</formula1>
    </dataValidation>
    <dataValidation type="custom" showErrorMessage="1" errorStyle="stop" errorTitle="Invalid Time" error="Enter time as HH:MM (e.g. 09:30) or leave blank" sqref="P440">
      <formula1>OR(P440="",AND(LEN(P440)=5,MID(P440,3,1)=":",ISNUMBER(VALUE(LEFT(P440,2))),ISNUMBER(VALUE(RIGHT(P440,2))),VALUE(LEFT(P440,2))&lt;=23,VALUE(RIGHT(P440,2))&lt;=59))</formula1>
    </dataValidation>
    <dataValidation type="custom" showErrorMessage="1" errorStyle="stop" errorTitle="Invalid Time" error="Enter time as HH:MM (e.g. 09:30) or leave blank" sqref="P441">
      <formula1>OR(P441="",AND(LEN(P441)=5,MID(P441,3,1)=":",ISNUMBER(VALUE(LEFT(P441,2))),ISNUMBER(VALUE(RIGHT(P441,2))),VALUE(LEFT(P441,2))&lt;=23,VALUE(RIGHT(P441,2))&lt;=59))</formula1>
    </dataValidation>
    <dataValidation type="custom" showErrorMessage="1" errorStyle="stop" errorTitle="Invalid Time" error="Enter time as HH:MM (e.g. 09:30) or leave blank" sqref="P442">
      <formula1>OR(P442="",AND(LEN(P442)=5,MID(P442,3,1)=":",ISNUMBER(VALUE(LEFT(P442,2))),ISNUMBER(VALUE(RIGHT(P442,2))),VALUE(LEFT(P442,2))&lt;=23,VALUE(RIGHT(P442,2))&lt;=59))</formula1>
    </dataValidation>
    <dataValidation type="custom" showErrorMessage="1" errorStyle="stop" errorTitle="Invalid Time" error="Enter time as HH:MM (e.g. 09:30) or leave blank" sqref="P443">
      <formula1>OR(P443="",AND(LEN(P443)=5,MID(P443,3,1)=":",ISNUMBER(VALUE(LEFT(P443,2))),ISNUMBER(VALUE(RIGHT(P443,2))),VALUE(LEFT(P443,2))&lt;=23,VALUE(RIGHT(P443,2))&lt;=59))</formula1>
    </dataValidation>
    <dataValidation type="custom" showErrorMessage="1" errorStyle="stop" errorTitle="Invalid Time" error="Enter time as HH:MM (e.g. 09:30) or leave blank" sqref="P444">
      <formula1>OR(P444="",AND(LEN(P444)=5,MID(P444,3,1)=":",ISNUMBER(VALUE(LEFT(P444,2))),ISNUMBER(VALUE(RIGHT(P444,2))),VALUE(LEFT(P444,2))&lt;=23,VALUE(RIGHT(P444,2))&lt;=59))</formula1>
    </dataValidation>
    <dataValidation type="custom" showErrorMessage="1" errorStyle="stop" errorTitle="Invalid Time" error="Enter time as HH:MM (e.g. 09:30) or leave blank" sqref="P445">
      <formula1>OR(P445="",AND(LEN(P445)=5,MID(P445,3,1)=":",ISNUMBER(VALUE(LEFT(P445,2))),ISNUMBER(VALUE(RIGHT(P445,2))),VALUE(LEFT(P445,2))&lt;=23,VALUE(RIGHT(P445,2))&lt;=59))</formula1>
    </dataValidation>
    <dataValidation type="custom" showErrorMessage="1" errorStyle="stop" errorTitle="Invalid Time" error="Enter time as HH:MM (e.g. 09:30) or leave blank" sqref="P446">
      <formula1>OR(P446="",AND(LEN(P446)=5,MID(P446,3,1)=":",ISNUMBER(VALUE(LEFT(P446,2))),ISNUMBER(VALUE(RIGHT(P446,2))),VALUE(LEFT(P446,2))&lt;=23,VALUE(RIGHT(P446,2))&lt;=59))</formula1>
    </dataValidation>
    <dataValidation type="custom" showErrorMessage="1" errorStyle="stop" errorTitle="Invalid Time" error="Enter time as HH:MM (e.g. 09:30) or leave blank" sqref="P447">
      <formula1>OR(P447="",AND(LEN(P447)=5,MID(P447,3,1)=":",ISNUMBER(VALUE(LEFT(P447,2))),ISNUMBER(VALUE(RIGHT(P447,2))),VALUE(LEFT(P447,2))&lt;=23,VALUE(RIGHT(P447,2))&lt;=59))</formula1>
    </dataValidation>
    <dataValidation type="custom" showErrorMessage="1" errorStyle="stop" errorTitle="Invalid Time" error="Enter time as HH:MM (e.g. 09:30) or leave blank" sqref="P448">
      <formula1>OR(P448="",AND(LEN(P448)=5,MID(P448,3,1)=":",ISNUMBER(VALUE(LEFT(P448,2))),ISNUMBER(VALUE(RIGHT(P448,2))),VALUE(LEFT(P448,2))&lt;=23,VALUE(RIGHT(P448,2))&lt;=59))</formula1>
    </dataValidation>
    <dataValidation type="custom" showErrorMessage="1" errorStyle="stop" errorTitle="Invalid Time" error="Enter time as HH:MM (e.g. 09:30) or leave blank" sqref="P449">
      <formula1>OR(P449="",AND(LEN(P449)=5,MID(P449,3,1)=":",ISNUMBER(VALUE(LEFT(P449,2))),ISNUMBER(VALUE(RIGHT(P449,2))),VALUE(LEFT(P449,2))&lt;=23,VALUE(RIGHT(P449,2))&lt;=59))</formula1>
    </dataValidation>
    <dataValidation type="custom" showErrorMessage="1" errorStyle="stop" errorTitle="Invalid Time" error="Enter time as HH:MM (e.g. 09:30) or leave blank" sqref="P45">
      <formula1>OR(P45="",AND(LEN(P45)=5,MID(P45,3,1)=":",ISNUMBER(VALUE(LEFT(P45,2))),ISNUMBER(VALUE(RIGHT(P45,2))),VALUE(LEFT(P45,2))&lt;=23,VALUE(RIGHT(P45,2))&lt;=59))</formula1>
    </dataValidation>
    <dataValidation type="custom" showErrorMessage="1" errorStyle="stop" errorTitle="Invalid Time" error="Enter time as HH:MM (e.g. 09:30) or leave blank" sqref="P450">
      <formula1>OR(P450="",AND(LEN(P450)=5,MID(P450,3,1)=":",ISNUMBER(VALUE(LEFT(P450,2))),ISNUMBER(VALUE(RIGHT(P450,2))),VALUE(LEFT(P450,2))&lt;=23,VALUE(RIGHT(P450,2))&lt;=59))</formula1>
    </dataValidation>
    <dataValidation type="custom" showErrorMessage="1" errorStyle="stop" errorTitle="Invalid Time" error="Enter time as HH:MM (e.g. 09:30) or leave blank" sqref="P451">
      <formula1>OR(P451="",AND(LEN(P451)=5,MID(P451,3,1)=":",ISNUMBER(VALUE(LEFT(P451,2))),ISNUMBER(VALUE(RIGHT(P451,2))),VALUE(LEFT(P451,2))&lt;=23,VALUE(RIGHT(P451,2))&lt;=59))</formula1>
    </dataValidation>
    <dataValidation type="custom" showErrorMessage="1" errorStyle="stop" errorTitle="Invalid Time" error="Enter time as HH:MM (e.g. 09:30) or leave blank" sqref="P452">
      <formula1>OR(P452="",AND(LEN(P452)=5,MID(P452,3,1)=":",ISNUMBER(VALUE(LEFT(P452,2))),ISNUMBER(VALUE(RIGHT(P452,2))),VALUE(LEFT(P452,2))&lt;=23,VALUE(RIGHT(P452,2))&lt;=59))</formula1>
    </dataValidation>
    <dataValidation type="custom" showErrorMessage="1" errorStyle="stop" errorTitle="Invalid Time" error="Enter time as HH:MM (e.g. 09:30) or leave blank" sqref="P453">
      <formula1>OR(P453="",AND(LEN(P453)=5,MID(P453,3,1)=":",ISNUMBER(VALUE(LEFT(P453,2))),ISNUMBER(VALUE(RIGHT(P453,2))),VALUE(LEFT(P453,2))&lt;=23,VALUE(RIGHT(P453,2))&lt;=59))</formula1>
    </dataValidation>
    <dataValidation type="custom" showErrorMessage="1" errorStyle="stop" errorTitle="Invalid Time" error="Enter time as HH:MM (e.g. 09:30) or leave blank" sqref="P454">
      <formula1>OR(P454="",AND(LEN(P454)=5,MID(P454,3,1)=":",ISNUMBER(VALUE(LEFT(P454,2))),ISNUMBER(VALUE(RIGHT(P454,2))),VALUE(LEFT(P454,2))&lt;=23,VALUE(RIGHT(P454,2))&lt;=59))</formula1>
    </dataValidation>
    <dataValidation type="custom" showErrorMessage="1" errorStyle="stop" errorTitle="Invalid Time" error="Enter time as HH:MM (e.g. 09:30) or leave blank" sqref="P455">
      <formula1>OR(P455="",AND(LEN(P455)=5,MID(P455,3,1)=":",ISNUMBER(VALUE(LEFT(P455,2))),ISNUMBER(VALUE(RIGHT(P455,2))),VALUE(LEFT(P455,2))&lt;=23,VALUE(RIGHT(P455,2))&lt;=59))</formula1>
    </dataValidation>
    <dataValidation type="custom" showErrorMessage="1" errorStyle="stop" errorTitle="Invalid Time" error="Enter time as HH:MM (e.g. 09:30) or leave blank" sqref="P456">
      <formula1>OR(P456="",AND(LEN(P456)=5,MID(P456,3,1)=":",ISNUMBER(VALUE(LEFT(P456,2))),ISNUMBER(VALUE(RIGHT(P456,2))),VALUE(LEFT(P456,2))&lt;=23,VALUE(RIGHT(P456,2))&lt;=59))</formula1>
    </dataValidation>
    <dataValidation type="custom" showErrorMessage="1" errorStyle="stop" errorTitle="Invalid Time" error="Enter time as HH:MM (e.g. 09:30) or leave blank" sqref="P457">
      <formula1>OR(P457="",AND(LEN(P457)=5,MID(P457,3,1)=":",ISNUMBER(VALUE(LEFT(P457,2))),ISNUMBER(VALUE(RIGHT(P457,2))),VALUE(LEFT(P457,2))&lt;=23,VALUE(RIGHT(P457,2))&lt;=59))</formula1>
    </dataValidation>
    <dataValidation type="custom" showErrorMessage="1" errorStyle="stop" errorTitle="Invalid Time" error="Enter time as HH:MM (e.g. 09:30) or leave blank" sqref="P458">
      <formula1>OR(P458="",AND(LEN(P458)=5,MID(P458,3,1)=":",ISNUMBER(VALUE(LEFT(P458,2))),ISNUMBER(VALUE(RIGHT(P458,2))),VALUE(LEFT(P458,2))&lt;=23,VALUE(RIGHT(P458,2))&lt;=59))</formula1>
    </dataValidation>
    <dataValidation type="custom" showErrorMessage="1" errorStyle="stop" errorTitle="Invalid Time" error="Enter time as HH:MM (e.g. 09:30) or leave blank" sqref="P459">
      <formula1>OR(P459="",AND(LEN(P459)=5,MID(P459,3,1)=":",ISNUMBER(VALUE(LEFT(P459,2))),ISNUMBER(VALUE(RIGHT(P459,2))),VALUE(LEFT(P459,2))&lt;=23,VALUE(RIGHT(P459,2))&lt;=59))</formula1>
    </dataValidation>
    <dataValidation type="custom" showErrorMessage="1" errorStyle="stop" errorTitle="Invalid Time" error="Enter time as HH:MM (e.g. 09:30) or leave blank" sqref="P46">
      <formula1>OR(P46="",AND(LEN(P46)=5,MID(P46,3,1)=":",ISNUMBER(VALUE(LEFT(P46,2))),ISNUMBER(VALUE(RIGHT(P46,2))),VALUE(LEFT(P46,2))&lt;=23,VALUE(RIGHT(P46,2))&lt;=59))</formula1>
    </dataValidation>
    <dataValidation type="custom" showErrorMessage="1" errorStyle="stop" errorTitle="Invalid Time" error="Enter time as HH:MM (e.g. 09:30) or leave blank" sqref="P460">
      <formula1>OR(P460="",AND(LEN(P460)=5,MID(P460,3,1)=":",ISNUMBER(VALUE(LEFT(P460,2))),ISNUMBER(VALUE(RIGHT(P460,2))),VALUE(LEFT(P460,2))&lt;=23,VALUE(RIGHT(P460,2))&lt;=59))</formula1>
    </dataValidation>
    <dataValidation type="custom" showErrorMessage="1" errorStyle="stop" errorTitle="Invalid Time" error="Enter time as HH:MM (e.g. 09:30) or leave blank" sqref="P461">
      <formula1>OR(P461="",AND(LEN(P461)=5,MID(P461,3,1)=":",ISNUMBER(VALUE(LEFT(P461,2))),ISNUMBER(VALUE(RIGHT(P461,2))),VALUE(LEFT(P461,2))&lt;=23,VALUE(RIGHT(P461,2))&lt;=59))</formula1>
    </dataValidation>
    <dataValidation type="custom" showErrorMessage="1" errorStyle="stop" errorTitle="Invalid Time" error="Enter time as HH:MM (e.g. 09:30) or leave blank" sqref="P462">
      <formula1>OR(P462="",AND(LEN(P462)=5,MID(P462,3,1)=":",ISNUMBER(VALUE(LEFT(P462,2))),ISNUMBER(VALUE(RIGHT(P462,2))),VALUE(LEFT(P462,2))&lt;=23,VALUE(RIGHT(P462,2))&lt;=59))</formula1>
    </dataValidation>
    <dataValidation type="custom" showErrorMessage="1" errorStyle="stop" errorTitle="Invalid Time" error="Enter time as HH:MM (e.g. 09:30) or leave blank" sqref="P463">
      <formula1>OR(P463="",AND(LEN(P463)=5,MID(P463,3,1)=":",ISNUMBER(VALUE(LEFT(P463,2))),ISNUMBER(VALUE(RIGHT(P463,2))),VALUE(LEFT(P463,2))&lt;=23,VALUE(RIGHT(P463,2))&lt;=59))</formula1>
    </dataValidation>
    <dataValidation type="custom" showErrorMessage="1" errorStyle="stop" errorTitle="Invalid Time" error="Enter time as HH:MM (e.g. 09:30) or leave blank" sqref="P464">
      <formula1>OR(P464="",AND(LEN(P464)=5,MID(P464,3,1)=":",ISNUMBER(VALUE(LEFT(P464,2))),ISNUMBER(VALUE(RIGHT(P464,2))),VALUE(LEFT(P464,2))&lt;=23,VALUE(RIGHT(P464,2))&lt;=59))</formula1>
    </dataValidation>
    <dataValidation type="custom" showErrorMessage="1" errorStyle="stop" errorTitle="Invalid Time" error="Enter time as HH:MM (e.g. 09:30) or leave blank" sqref="P465">
      <formula1>OR(P465="",AND(LEN(P465)=5,MID(P465,3,1)=":",ISNUMBER(VALUE(LEFT(P465,2))),ISNUMBER(VALUE(RIGHT(P465,2))),VALUE(LEFT(P465,2))&lt;=23,VALUE(RIGHT(P465,2))&lt;=59))</formula1>
    </dataValidation>
    <dataValidation type="custom" showErrorMessage="1" errorStyle="stop" errorTitle="Invalid Time" error="Enter time as HH:MM (e.g. 09:30) or leave blank" sqref="P466">
      <formula1>OR(P466="",AND(LEN(P466)=5,MID(P466,3,1)=":",ISNUMBER(VALUE(LEFT(P466,2))),ISNUMBER(VALUE(RIGHT(P466,2))),VALUE(LEFT(P466,2))&lt;=23,VALUE(RIGHT(P466,2))&lt;=59))</formula1>
    </dataValidation>
    <dataValidation type="custom" showErrorMessage="1" errorStyle="stop" errorTitle="Invalid Time" error="Enter time as HH:MM (e.g. 09:30) or leave blank" sqref="P467">
      <formula1>OR(P467="",AND(LEN(P467)=5,MID(P467,3,1)=":",ISNUMBER(VALUE(LEFT(P467,2))),ISNUMBER(VALUE(RIGHT(P467,2))),VALUE(LEFT(P467,2))&lt;=23,VALUE(RIGHT(P467,2))&lt;=59))</formula1>
    </dataValidation>
    <dataValidation type="custom" showErrorMessage="1" errorStyle="stop" errorTitle="Invalid Time" error="Enter time as HH:MM (e.g. 09:30) or leave blank" sqref="P468">
      <formula1>OR(P468="",AND(LEN(P468)=5,MID(P468,3,1)=":",ISNUMBER(VALUE(LEFT(P468,2))),ISNUMBER(VALUE(RIGHT(P468,2))),VALUE(LEFT(P468,2))&lt;=23,VALUE(RIGHT(P468,2))&lt;=59))</formula1>
    </dataValidation>
    <dataValidation type="custom" showErrorMessage="1" errorStyle="stop" errorTitle="Invalid Time" error="Enter time as HH:MM (e.g. 09:30) or leave blank" sqref="P469">
      <formula1>OR(P469="",AND(LEN(P469)=5,MID(P469,3,1)=":",ISNUMBER(VALUE(LEFT(P469,2))),ISNUMBER(VALUE(RIGHT(P469,2))),VALUE(LEFT(P469,2))&lt;=23,VALUE(RIGHT(P469,2))&lt;=59))</formula1>
    </dataValidation>
    <dataValidation type="custom" showErrorMessage="1" errorStyle="stop" errorTitle="Invalid Time" error="Enter time as HH:MM (e.g. 09:30) or leave blank" sqref="P47">
      <formula1>OR(P47="",AND(LEN(P47)=5,MID(P47,3,1)=":",ISNUMBER(VALUE(LEFT(P47,2))),ISNUMBER(VALUE(RIGHT(P47,2))),VALUE(LEFT(P47,2))&lt;=23,VALUE(RIGHT(P47,2))&lt;=59))</formula1>
    </dataValidation>
    <dataValidation type="custom" showErrorMessage="1" errorStyle="stop" errorTitle="Invalid Time" error="Enter time as HH:MM (e.g. 09:30) or leave blank" sqref="P470">
      <formula1>OR(P470="",AND(LEN(P470)=5,MID(P470,3,1)=":",ISNUMBER(VALUE(LEFT(P470,2))),ISNUMBER(VALUE(RIGHT(P470,2))),VALUE(LEFT(P470,2))&lt;=23,VALUE(RIGHT(P470,2))&lt;=59))</formula1>
    </dataValidation>
    <dataValidation type="custom" showErrorMessage="1" errorStyle="stop" errorTitle="Invalid Time" error="Enter time as HH:MM (e.g. 09:30) or leave blank" sqref="P471">
      <formula1>OR(P471="",AND(LEN(P471)=5,MID(P471,3,1)=":",ISNUMBER(VALUE(LEFT(P471,2))),ISNUMBER(VALUE(RIGHT(P471,2))),VALUE(LEFT(P471,2))&lt;=23,VALUE(RIGHT(P471,2))&lt;=59))</formula1>
    </dataValidation>
    <dataValidation type="custom" showErrorMessage="1" errorStyle="stop" errorTitle="Invalid Time" error="Enter time as HH:MM (e.g. 09:30) or leave blank" sqref="P472">
      <formula1>OR(P472="",AND(LEN(P472)=5,MID(P472,3,1)=":",ISNUMBER(VALUE(LEFT(P472,2))),ISNUMBER(VALUE(RIGHT(P472,2))),VALUE(LEFT(P472,2))&lt;=23,VALUE(RIGHT(P472,2))&lt;=59))</formula1>
    </dataValidation>
    <dataValidation type="custom" showErrorMessage="1" errorStyle="stop" errorTitle="Invalid Time" error="Enter time as HH:MM (e.g. 09:30) or leave blank" sqref="P473">
      <formula1>OR(P473="",AND(LEN(P473)=5,MID(P473,3,1)=":",ISNUMBER(VALUE(LEFT(P473,2))),ISNUMBER(VALUE(RIGHT(P473,2))),VALUE(LEFT(P473,2))&lt;=23,VALUE(RIGHT(P473,2))&lt;=59))</formula1>
    </dataValidation>
    <dataValidation type="custom" showErrorMessage="1" errorStyle="stop" errorTitle="Invalid Time" error="Enter time as HH:MM (e.g. 09:30) or leave blank" sqref="P474">
      <formula1>OR(P474="",AND(LEN(P474)=5,MID(P474,3,1)=":",ISNUMBER(VALUE(LEFT(P474,2))),ISNUMBER(VALUE(RIGHT(P474,2))),VALUE(LEFT(P474,2))&lt;=23,VALUE(RIGHT(P474,2))&lt;=59))</formula1>
    </dataValidation>
    <dataValidation type="custom" showErrorMessage="1" errorStyle="stop" errorTitle="Invalid Time" error="Enter time as HH:MM (e.g. 09:30) or leave blank" sqref="P475">
      <formula1>OR(P475="",AND(LEN(P475)=5,MID(P475,3,1)=":",ISNUMBER(VALUE(LEFT(P475,2))),ISNUMBER(VALUE(RIGHT(P475,2))),VALUE(LEFT(P475,2))&lt;=23,VALUE(RIGHT(P475,2))&lt;=59))</formula1>
    </dataValidation>
    <dataValidation type="custom" showErrorMessage="1" errorStyle="stop" errorTitle="Invalid Time" error="Enter time as HH:MM (e.g. 09:30) or leave blank" sqref="P476">
      <formula1>OR(P476="",AND(LEN(P476)=5,MID(P476,3,1)=":",ISNUMBER(VALUE(LEFT(P476,2))),ISNUMBER(VALUE(RIGHT(P476,2))),VALUE(LEFT(P476,2))&lt;=23,VALUE(RIGHT(P476,2))&lt;=59))</formula1>
    </dataValidation>
    <dataValidation type="custom" showErrorMessage="1" errorStyle="stop" errorTitle="Invalid Time" error="Enter time as HH:MM (e.g. 09:30) or leave blank" sqref="P477">
      <formula1>OR(P477="",AND(LEN(P477)=5,MID(P477,3,1)=":",ISNUMBER(VALUE(LEFT(P477,2))),ISNUMBER(VALUE(RIGHT(P477,2))),VALUE(LEFT(P477,2))&lt;=23,VALUE(RIGHT(P477,2))&lt;=59))</formula1>
    </dataValidation>
    <dataValidation type="custom" showErrorMessage="1" errorStyle="stop" errorTitle="Invalid Time" error="Enter time as HH:MM (e.g. 09:30) or leave blank" sqref="P478">
      <formula1>OR(P478="",AND(LEN(P478)=5,MID(P478,3,1)=":",ISNUMBER(VALUE(LEFT(P478,2))),ISNUMBER(VALUE(RIGHT(P478,2))),VALUE(LEFT(P478,2))&lt;=23,VALUE(RIGHT(P478,2))&lt;=59))</formula1>
    </dataValidation>
    <dataValidation type="custom" showErrorMessage="1" errorStyle="stop" errorTitle="Invalid Time" error="Enter time as HH:MM (e.g. 09:30) or leave blank" sqref="P479">
      <formula1>OR(P479="",AND(LEN(P479)=5,MID(P479,3,1)=":",ISNUMBER(VALUE(LEFT(P479,2))),ISNUMBER(VALUE(RIGHT(P479,2))),VALUE(LEFT(P479,2))&lt;=23,VALUE(RIGHT(P479,2))&lt;=59))</formula1>
    </dataValidation>
    <dataValidation type="custom" showErrorMessage="1" errorStyle="stop" errorTitle="Invalid Time" error="Enter time as HH:MM (e.g. 09:30) or leave blank" sqref="P48">
      <formula1>OR(P48="",AND(LEN(P48)=5,MID(P48,3,1)=":",ISNUMBER(VALUE(LEFT(P48,2))),ISNUMBER(VALUE(RIGHT(P48,2))),VALUE(LEFT(P48,2))&lt;=23,VALUE(RIGHT(P48,2))&lt;=59))</formula1>
    </dataValidation>
    <dataValidation type="custom" showErrorMessage="1" errorStyle="stop" errorTitle="Invalid Time" error="Enter time as HH:MM (e.g. 09:30) or leave blank" sqref="P480">
      <formula1>OR(P480="",AND(LEN(P480)=5,MID(P480,3,1)=":",ISNUMBER(VALUE(LEFT(P480,2))),ISNUMBER(VALUE(RIGHT(P480,2))),VALUE(LEFT(P480,2))&lt;=23,VALUE(RIGHT(P480,2))&lt;=59))</formula1>
    </dataValidation>
    <dataValidation type="custom" showErrorMessage="1" errorStyle="stop" errorTitle="Invalid Time" error="Enter time as HH:MM (e.g. 09:30) or leave blank" sqref="P481">
      <formula1>OR(P481="",AND(LEN(P481)=5,MID(P481,3,1)=":",ISNUMBER(VALUE(LEFT(P481,2))),ISNUMBER(VALUE(RIGHT(P481,2))),VALUE(LEFT(P481,2))&lt;=23,VALUE(RIGHT(P481,2))&lt;=59))</formula1>
    </dataValidation>
    <dataValidation type="custom" showErrorMessage="1" errorStyle="stop" errorTitle="Invalid Time" error="Enter time as HH:MM (e.g. 09:30) or leave blank" sqref="P482">
      <formula1>OR(P482="",AND(LEN(P482)=5,MID(P482,3,1)=":",ISNUMBER(VALUE(LEFT(P482,2))),ISNUMBER(VALUE(RIGHT(P482,2))),VALUE(LEFT(P482,2))&lt;=23,VALUE(RIGHT(P482,2))&lt;=59))</formula1>
    </dataValidation>
    <dataValidation type="custom" showErrorMessage="1" errorStyle="stop" errorTitle="Invalid Time" error="Enter time as HH:MM (e.g. 09:30) or leave blank" sqref="P483">
      <formula1>OR(P483="",AND(LEN(P483)=5,MID(P483,3,1)=":",ISNUMBER(VALUE(LEFT(P483,2))),ISNUMBER(VALUE(RIGHT(P483,2))),VALUE(LEFT(P483,2))&lt;=23,VALUE(RIGHT(P483,2))&lt;=59))</formula1>
    </dataValidation>
    <dataValidation type="custom" showErrorMessage="1" errorStyle="stop" errorTitle="Invalid Time" error="Enter time as HH:MM (e.g. 09:30) or leave blank" sqref="P484">
      <formula1>OR(P484="",AND(LEN(P484)=5,MID(P484,3,1)=":",ISNUMBER(VALUE(LEFT(P484,2))),ISNUMBER(VALUE(RIGHT(P484,2))),VALUE(LEFT(P484,2))&lt;=23,VALUE(RIGHT(P484,2))&lt;=59))</formula1>
    </dataValidation>
    <dataValidation type="custom" showErrorMessage="1" errorStyle="stop" errorTitle="Invalid Time" error="Enter time as HH:MM (e.g. 09:30) or leave blank" sqref="P485">
      <formula1>OR(P485="",AND(LEN(P485)=5,MID(P485,3,1)=":",ISNUMBER(VALUE(LEFT(P485,2))),ISNUMBER(VALUE(RIGHT(P485,2))),VALUE(LEFT(P485,2))&lt;=23,VALUE(RIGHT(P485,2))&lt;=59))</formula1>
    </dataValidation>
    <dataValidation type="custom" showErrorMessage="1" errorStyle="stop" errorTitle="Invalid Time" error="Enter time as HH:MM (e.g. 09:30) or leave blank" sqref="P486">
      <formula1>OR(P486="",AND(LEN(P486)=5,MID(P486,3,1)=":",ISNUMBER(VALUE(LEFT(P486,2))),ISNUMBER(VALUE(RIGHT(P486,2))),VALUE(LEFT(P486,2))&lt;=23,VALUE(RIGHT(P486,2))&lt;=59))</formula1>
    </dataValidation>
    <dataValidation type="custom" showErrorMessage="1" errorStyle="stop" errorTitle="Invalid Time" error="Enter time as HH:MM (e.g. 09:30) or leave blank" sqref="P487">
      <formula1>OR(P487="",AND(LEN(P487)=5,MID(P487,3,1)=":",ISNUMBER(VALUE(LEFT(P487,2))),ISNUMBER(VALUE(RIGHT(P487,2))),VALUE(LEFT(P487,2))&lt;=23,VALUE(RIGHT(P487,2))&lt;=59))</formula1>
    </dataValidation>
    <dataValidation type="custom" showErrorMessage="1" errorStyle="stop" errorTitle="Invalid Time" error="Enter time as HH:MM (e.g. 09:30) or leave blank" sqref="P488">
      <formula1>OR(P488="",AND(LEN(P488)=5,MID(P488,3,1)=":",ISNUMBER(VALUE(LEFT(P488,2))),ISNUMBER(VALUE(RIGHT(P488,2))),VALUE(LEFT(P488,2))&lt;=23,VALUE(RIGHT(P488,2))&lt;=59))</formula1>
    </dataValidation>
    <dataValidation type="custom" showErrorMessage="1" errorStyle="stop" errorTitle="Invalid Time" error="Enter time as HH:MM (e.g. 09:30) or leave blank" sqref="P489">
      <formula1>OR(P489="",AND(LEN(P489)=5,MID(P489,3,1)=":",ISNUMBER(VALUE(LEFT(P489,2))),ISNUMBER(VALUE(RIGHT(P489,2))),VALUE(LEFT(P489,2))&lt;=23,VALUE(RIGHT(P489,2))&lt;=59))</formula1>
    </dataValidation>
    <dataValidation type="custom" showErrorMessage="1" errorStyle="stop" errorTitle="Invalid Time" error="Enter time as HH:MM (e.g. 09:30) or leave blank" sqref="P49">
      <formula1>OR(P49="",AND(LEN(P49)=5,MID(P49,3,1)=":",ISNUMBER(VALUE(LEFT(P49,2))),ISNUMBER(VALUE(RIGHT(P49,2))),VALUE(LEFT(P49,2))&lt;=23,VALUE(RIGHT(P49,2))&lt;=59))</formula1>
    </dataValidation>
    <dataValidation type="custom" showErrorMessage="1" errorStyle="stop" errorTitle="Invalid Time" error="Enter time as HH:MM (e.g. 09:30) or leave blank" sqref="P490">
      <formula1>OR(P490="",AND(LEN(P490)=5,MID(P490,3,1)=":",ISNUMBER(VALUE(LEFT(P490,2))),ISNUMBER(VALUE(RIGHT(P490,2))),VALUE(LEFT(P490,2))&lt;=23,VALUE(RIGHT(P490,2))&lt;=59))</formula1>
    </dataValidation>
    <dataValidation type="custom" showErrorMessage="1" errorStyle="stop" errorTitle="Invalid Time" error="Enter time as HH:MM (e.g. 09:30) or leave blank" sqref="P491">
      <formula1>OR(P491="",AND(LEN(P491)=5,MID(P491,3,1)=":",ISNUMBER(VALUE(LEFT(P491,2))),ISNUMBER(VALUE(RIGHT(P491,2))),VALUE(LEFT(P491,2))&lt;=23,VALUE(RIGHT(P491,2))&lt;=59))</formula1>
    </dataValidation>
    <dataValidation type="custom" showErrorMessage="1" errorStyle="stop" errorTitle="Invalid Time" error="Enter time as HH:MM (e.g. 09:30) or leave blank" sqref="P492">
      <formula1>OR(P492="",AND(LEN(P492)=5,MID(P492,3,1)=":",ISNUMBER(VALUE(LEFT(P492,2))),ISNUMBER(VALUE(RIGHT(P492,2))),VALUE(LEFT(P492,2))&lt;=23,VALUE(RIGHT(P492,2))&lt;=59))</formula1>
    </dataValidation>
    <dataValidation type="custom" showErrorMessage="1" errorStyle="stop" errorTitle="Invalid Time" error="Enter time as HH:MM (e.g. 09:30) or leave blank" sqref="P493">
      <formula1>OR(P493="",AND(LEN(P493)=5,MID(P493,3,1)=":",ISNUMBER(VALUE(LEFT(P493,2))),ISNUMBER(VALUE(RIGHT(P493,2))),VALUE(LEFT(P493,2))&lt;=23,VALUE(RIGHT(P493,2))&lt;=59))</formula1>
    </dataValidation>
    <dataValidation type="custom" showErrorMessage="1" errorStyle="stop" errorTitle="Invalid Time" error="Enter time as HH:MM (e.g. 09:30) or leave blank" sqref="P494">
      <formula1>OR(P494="",AND(LEN(P494)=5,MID(P494,3,1)=":",ISNUMBER(VALUE(LEFT(P494,2))),ISNUMBER(VALUE(RIGHT(P494,2))),VALUE(LEFT(P494,2))&lt;=23,VALUE(RIGHT(P494,2))&lt;=59))</formula1>
    </dataValidation>
    <dataValidation type="custom" showErrorMessage="1" errorStyle="stop" errorTitle="Invalid Time" error="Enter time as HH:MM (e.g. 09:30) or leave blank" sqref="P495">
      <formula1>OR(P495="",AND(LEN(P495)=5,MID(P495,3,1)=":",ISNUMBER(VALUE(LEFT(P495,2))),ISNUMBER(VALUE(RIGHT(P495,2))),VALUE(LEFT(P495,2))&lt;=23,VALUE(RIGHT(P495,2))&lt;=59))</formula1>
    </dataValidation>
    <dataValidation type="custom" showErrorMessage="1" errorStyle="stop" errorTitle="Invalid Time" error="Enter time as HH:MM (e.g. 09:30) or leave blank" sqref="P496">
      <formula1>OR(P496="",AND(LEN(P496)=5,MID(P496,3,1)=":",ISNUMBER(VALUE(LEFT(P496,2))),ISNUMBER(VALUE(RIGHT(P496,2))),VALUE(LEFT(P496,2))&lt;=23,VALUE(RIGHT(P496,2))&lt;=59))</formula1>
    </dataValidation>
    <dataValidation type="custom" showErrorMessage="1" errorStyle="stop" errorTitle="Invalid Time" error="Enter time as HH:MM (e.g. 09:30) or leave blank" sqref="P497">
      <formula1>OR(P497="",AND(LEN(P497)=5,MID(P497,3,1)=":",ISNUMBER(VALUE(LEFT(P497,2))),ISNUMBER(VALUE(RIGHT(P497,2))),VALUE(LEFT(P497,2))&lt;=23,VALUE(RIGHT(P497,2))&lt;=59))</formula1>
    </dataValidation>
    <dataValidation type="custom" showErrorMessage="1" errorStyle="stop" errorTitle="Invalid Time" error="Enter time as HH:MM (e.g. 09:30) or leave blank" sqref="P498">
      <formula1>OR(P498="",AND(LEN(P498)=5,MID(P498,3,1)=":",ISNUMBER(VALUE(LEFT(P498,2))),ISNUMBER(VALUE(RIGHT(P498,2))),VALUE(LEFT(P498,2))&lt;=23,VALUE(RIGHT(P498,2))&lt;=59))</formula1>
    </dataValidation>
    <dataValidation type="custom" showErrorMessage="1" errorStyle="stop" errorTitle="Invalid Time" error="Enter time as HH:MM (e.g. 09:30) or leave blank" sqref="P499">
      <formula1>OR(P499="",AND(LEN(P499)=5,MID(P499,3,1)=":",ISNUMBER(VALUE(LEFT(P499,2))),ISNUMBER(VALUE(RIGHT(P499,2))),VALUE(LEFT(P499,2))&lt;=23,VALUE(RIGHT(P499,2))&lt;=59))</formula1>
    </dataValidation>
    <dataValidation type="custom" showErrorMessage="1" errorStyle="stop" errorTitle="Invalid Time" error="Enter time as HH:MM (e.g. 09:30) or leave blank" sqref="P5">
      <formula1>OR(P5="",AND(LEN(P5)=5,MID(P5,3,1)=":",ISNUMBER(VALUE(LEFT(P5,2))),ISNUMBER(VALUE(RIGHT(P5,2))),VALUE(LEFT(P5,2))&lt;=23,VALUE(RIGHT(P5,2))&lt;=59))</formula1>
    </dataValidation>
    <dataValidation type="custom" showErrorMessage="1" errorStyle="stop" errorTitle="Invalid Time" error="Enter time as HH:MM (e.g. 09:30) or leave blank" sqref="P50">
      <formula1>OR(P50="",AND(LEN(P50)=5,MID(P50,3,1)=":",ISNUMBER(VALUE(LEFT(P50,2))),ISNUMBER(VALUE(RIGHT(P50,2))),VALUE(LEFT(P50,2))&lt;=23,VALUE(RIGHT(P50,2))&lt;=59))</formula1>
    </dataValidation>
    <dataValidation type="custom" showErrorMessage="1" errorStyle="stop" errorTitle="Invalid Time" error="Enter time as HH:MM (e.g. 09:30) or leave blank" sqref="P500">
      <formula1>OR(P500="",AND(LEN(P500)=5,MID(P500,3,1)=":",ISNUMBER(VALUE(LEFT(P500,2))),ISNUMBER(VALUE(RIGHT(P500,2))),VALUE(LEFT(P500,2))&lt;=23,VALUE(RIGHT(P500,2))&lt;=59))</formula1>
    </dataValidation>
    <dataValidation type="custom" showErrorMessage="1" errorStyle="stop" errorTitle="Invalid Time" error="Enter time as HH:MM (e.g. 09:30) or leave blank" sqref="P501">
      <formula1>OR(P501="",AND(LEN(P501)=5,MID(P501,3,1)=":",ISNUMBER(VALUE(LEFT(P501,2))),ISNUMBER(VALUE(RIGHT(P501,2))),VALUE(LEFT(P501,2))&lt;=23,VALUE(RIGHT(P501,2))&lt;=59))</formula1>
    </dataValidation>
    <dataValidation type="custom" showErrorMessage="1" errorStyle="stop" errorTitle="Invalid Time" error="Enter time as HH:MM (e.g. 09:30) or leave blank" sqref="P502">
      <formula1>OR(P502="",AND(LEN(P502)=5,MID(P502,3,1)=":",ISNUMBER(VALUE(LEFT(P502,2))),ISNUMBER(VALUE(RIGHT(P502,2))),VALUE(LEFT(P502,2))&lt;=23,VALUE(RIGHT(P502,2))&lt;=59))</formula1>
    </dataValidation>
    <dataValidation type="custom" showErrorMessage="1" errorStyle="stop" errorTitle="Invalid Time" error="Enter time as HH:MM (e.g. 09:30) or leave blank" sqref="P503">
      <formula1>OR(P503="",AND(LEN(P503)=5,MID(P503,3,1)=":",ISNUMBER(VALUE(LEFT(P503,2))),ISNUMBER(VALUE(RIGHT(P503,2))),VALUE(LEFT(P503,2))&lt;=23,VALUE(RIGHT(P503,2))&lt;=59))</formula1>
    </dataValidation>
    <dataValidation type="custom" showErrorMessage="1" errorStyle="stop" errorTitle="Invalid Time" error="Enter time as HH:MM (e.g. 09:30) or leave blank" sqref="P51">
      <formula1>OR(P51="",AND(LEN(P51)=5,MID(P51,3,1)=":",ISNUMBER(VALUE(LEFT(P51,2))),ISNUMBER(VALUE(RIGHT(P51,2))),VALUE(LEFT(P51,2))&lt;=23,VALUE(RIGHT(P51,2))&lt;=59))</formula1>
    </dataValidation>
    <dataValidation type="custom" showErrorMessage="1" errorStyle="stop" errorTitle="Invalid Time" error="Enter time as HH:MM (e.g. 09:30) or leave blank" sqref="P52">
      <formula1>OR(P52="",AND(LEN(P52)=5,MID(P52,3,1)=":",ISNUMBER(VALUE(LEFT(P52,2))),ISNUMBER(VALUE(RIGHT(P52,2))),VALUE(LEFT(P52,2))&lt;=23,VALUE(RIGHT(P52,2))&lt;=59))</formula1>
    </dataValidation>
    <dataValidation type="custom" showErrorMessage="1" errorStyle="stop" errorTitle="Invalid Time" error="Enter time as HH:MM (e.g. 09:30) or leave blank" sqref="P53">
      <formula1>OR(P53="",AND(LEN(P53)=5,MID(P53,3,1)=":",ISNUMBER(VALUE(LEFT(P53,2))),ISNUMBER(VALUE(RIGHT(P53,2))),VALUE(LEFT(P53,2))&lt;=23,VALUE(RIGHT(P53,2))&lt;=59))</formula1>
    </dataValidation>
    <dataValidation type="custom" showErrorMessage="1" errorStyle="stop" errorTitle="Invalid Time" error="Enter time as HH:MM (e.g. 09:30) or leave blank" sqref="P54">
      <formula1>OR(P54="",AND(LEN(P54)=5,MID(P54,3,1)=":",ISNUMBER(VALUE(LEFT(P54,2))),ISNUMBER(VALUE(RIGHT(P54,2))),VALUE(LEFT(P54,2))&lt;=23,VALUE(RIGHT(P54,2))&lt;=59))</formula1>
    </dataValidation>
    <dataValidation type="custom" showErrorMessage="1" errorStyle="stop" errorTitle="Invalid Time" error="Enter time as HH:MM (e.g. 09:30) or leave blank" sqref="P55">
      <formula1>OR(P55="",AND(LEN(P55)=5,MID(P55,3,1)=":",ISNUMBER(VALUE(LEFT(P55,2))),ISNUMBER(VALUE(RIGHT(P55,2))),VALUE(LEFT(P55,2))&lt;=23,VALUE(RIGHT(P55,2))&lt;=59))</formula1>
    </dataValidation>
    <dataValidation type="custom" showErrorMessage="1" errorStyle="stop" errorTitle="Invalid Time" error="Enter time as HH:MM (e.g. 09:30) or leave blank" sqref="P56">
      <formula1>OR(P56="",AND(LEN(P56)=5,MID(P56,3,1)=":",ISNUMBER(VALUE(LEFT(P56,2))),ISNUMBER(VALUE(RIGHT(P56,2))),VALUE(LEFT(P56,2))&lt;=23,VALUE(RIGHT(P56,2))&lt;=59))</formula1>
    </dataValidation>
    <dataValidation type="custom" showErrorMessage="1" errorStyle="stop" errorTitle="Invalid Time" error="Enter time as HH:MM (e.g. 09:30) or leave blank" sqref="P57">
      <formula1>OR(P57="",AND(LEN(P57)=5,MID(P57,3,1)=":",ISNUMBER(VALUE(LEFT(P57,2))),ISNUMBER(VALUE(RIGHT(P57,2))),VALUE(LEFT(P57,2))&lt;=23,VALUE(RIGHT(P57,2))&lt;=59))</formula1>
    </dataValidation>
    <dataValidation type="custom" showErrorMessage="1" errorStyle="stop" errorTitle="Invalid Time" error="Enter time as HH:MM (e.g. 09:30) or leave blank" sqref="P58">
      <formula1>OR(P58="",AND(LEN(P58)=5,MID(P58,3,1)=":",ISNUMBER(VALUE(LEFT(P58,2))),ISNUMBER(VALUE(RIGHT(P58,2))),VALUE(LEFT(P58,2))&lt;=23,VALUE(RIGHT(P58,2))&lt;=59))</formula1>
    </dataValidation>
    <dataValidation type="custom" showErrorMessage="1" errorStyle="stop" errorTitle="Invalid Time" error="Enter time as HH:MM (e.g. 09:30) or leave blank" sqref="P59">
      <formula1>OR(P59="",AND(LEN(P59)=5,MID(P59,3,1)=":",ISNUMBER(VALUE(LEFT(P59,2))),ISNUMBER(VALUE(RIGHT(P59,2))),VALUE(LEFT(P59,2))&lt;=23,VALUE(RIGHT(P59,2))&lt;=59))</formula1>
    </dataValidation>
    <dataValidation type="custom" showErrorMessage="1" errorStyle="stop" errorTitle="Invalid Time" error="Enter time as HH:MM (e.g. 09:30) or leave blank" sqref="P6">
      <formula1>OR(P6="",AND(LEN(P6)=5,MID(P6,3,1)=":",ISNUMBER(VALUE(LEFT(P6,2))),ISNUMBER(VALUE(RIGHT(P6,2))),VALUE(LEFT(P6,2))&lt;=23,VALUE(RIGHT(P6,2))&lt;=59))</formula1>
    </dataValidation>
    <dataValidation type="custom" showErrorMessage="1" errorStyle="stop" errorTitle="Invalid Time" error="Enter time as HH:MM (e.g. 09:30) or leave blank" sqref="P60">
      <formula1>OR(P60="",AND(LEN(P60)=5,MID(P60,3,1)=":",ISNUMBER(VALUE(LEFT(P60,2))),ISNUMBER(VALUE(RIGHT(P60,2))),VALUE(LEFT(P60,2))&lt;=23,VALUE(RIGHT(P60,2))&lt;=59))</formula1>
    </dataValidation>
    <dataValidation type="custom" showErrorMessage="1" errorStyle="stop" errorTitle="Invalid Time" error="Enter time as HH:MM (e.g. 09:30) or leave blank" sqref="P61">
      <formula1>OR(P61="",AND(LEN(P61)=5,MID(P61,3,1)=":",ISNUMBER(VALUE(LEFT(P61,2))),ISNUMBER(VALUE(RIGHT(P61,2))),VALUE(LEFT(P61,2))&lt;=23,VALUE(RIGHT(P61,2))&lt;=59))</formula1>
    </dataValidation>
    <dataValidation type="custom" showErrorMessage="1" errorStyle="stop" errorTitle="Invalid Time" error="Enter time as HH:MM (e.g. 09:30) or leave blank" sqref="P62">
      <formula1>OR(P62="",AND(LEN(P62)=5,MID(P62,3,1)=":",ISNUMBER(VALUE(LEFT(P62,2))),ISNUMBER(VALUE(RIGHT(P62,2))),VALUE(LEFT(P62,2))&lt;=23,VALUE(RIGHT(P62,2))&lt;=59))</formula1>
    </dataValidation>
    <dataValidation type="custom" showErrorMessage="1" errorStyle="stop" errorTitle="Invalid Time" error="Enter time as HH:MM (e.g. 09:30) or leave blank" sqref="P63">
      <formula1>OR(P63="",AND(LEN(P63)=5,MID(P63,3,1)=":",ISNUMBER(VALUE(LEFT(P63,2))),ISNUMBER(VALUE(RIGHT(P63,2))),VALUE(LEFT(P63,2))&lt;=23,VALUE(RIGHT(P63,2))&lt;=59))</formula1>
    </dataValidation>
    <dataValidation type="custom" showErrorMessage="1" errorStyle="stop" errorTitle="Invalid Time" error="Enter time as HH:MM (e.g. 09:30) or leave blank" sqref="P64">
      <formula1>OR(P64="",AND(LEN(P64)=5,MID(P64,3,1)=":",ISNUMBER(VALUE(LEFT(P64,2))),ISNUMBER(VALUE(RIGHT(P64,2))),VALUE(LEFT(P64,2))&lt;=23,VALUE(RIGHT(P64,2))&lt;=59))</formula1>
    </dataValidation>
    <dataValidation type="custom" showErrorMessage="1" errorStyle="stop" errorTitle="Invalid Time" error="Enter time as HH:MM (e.g. 09:30) or leave blank" sqref="P65">
      <formula1>OR(P65="",AND(LEN(P65)=5,MID(P65,3,1)=":",ISNUMBER(VALUE(LEFT(P65,2))),ISNUMBER(VALUE(RIGHT(P65,2))),VALUE(LEFT(P65,2))&lt;=23,VALUE(RIGHT(P65,2))&lt;=59))</formula1>
    </dataValidation>
    <dataValidation type="custom" showErrorMessage="1" errorStyle="stop" errorTitle="Invalid Time" error="Enter time as HH:MM (e.g. 09:30) or leave blank" sqref="P66">
      <formula1>OR(P66="",AND(LEN(P66)=5,MID(P66,3,1)=":",ISNUMBER(VALUE(LEFT(P66,2))),ISNUMBER(VALUE(RIGHT(P66,2))),VALUE(LEFT(P66,2))&lt;=23,VALUE(RIGHT(P66,2))&lt;=59))</formula1>
    </dataValidation>
    <dataValidation type="custom" showErrorMessage="1" errorStyle="stop" errorTitle="Invalid Time" error="Enter time as HH:MM (e.g. 09:30) or leave blank" sqref="P67">
      <formula1>OR(P67="",AND(LEN(P67)=5,MID(P67,3,1)=":",ISNUMBER(VALUE(LEFT(P67,2))),ISNUMBER(VALUE(RIGHT(P67,2))),VALUE(LEFT(P67,2))&lt;=23,VALUE(RIGHT(P67,2))&lt;=59))</formula1>
    </dataValidation>
    <dataValidation type="custom" showErrorMessage="1" errorStyle="stop" errorTitle="Invalid Time" error="Enter time as HH:MM (e.g. 09:30) or leave blank" sqref="P68">
      <formula1>OR(P68="",AND(LEN(P68)=5,MID(P68,3,1)=":",ISNUMBER(VALUE(LEFT(P68,2))),ISNUMBER(VALUE(RIGHT(P68,2))),VALUE(LEFT(P68,2))&lt;=23,VALUE(RIGHT(P68,2))&lt;=59))</formula1>
    </dataValidation>
    <dataValidation type="custom" showErrorMessage="1" errorStyle="stop" errorTitle="Invalid Time" error="Enter time as HH:MM (e.g. 09:30) or leave blank" sqref="P69">
      <formula1>OR(P69="",AND(LEN(P69)=5,MID(P69,3,1)=":",ISNUMBER(VALUE(LEFT(P69,2))),ISNUMBER(VALUE(RIGHT(P69,2))),VALUE(LEFT(P69,2))&lt;=23,VALUE(RIGHT(P69,2))&lt;=59))</formula1>
    </dataValidation>
    <dataValidation type="custom" showErrorMessage="1" errorStyle="stop" errorTitle="Invalid Time" error="Enter time as HH:MM (e.g. 09:30) or leave blank" sqref="P7">
      <formula1>OR(P7="",AND(LEN(P7)=5,MID(P7,3,1)=":",ISNUMBER(VALUE(LEFT(P7,2))),ISNUMBER(VALUE(RIGHT(P7,2))),VALUE(LEFT(P7,2))&lt;=23,VALUE(RIGHT(P7,2))&lt;=59))</formula1>
    </dataValidation>
    <dataValidation type="custom" showErrorMessage="1" errorStyle="stop" errorTitle="Invalid Time" error="Enter time as HH:MM (e.g. 09:30) or leave blank" sqref="P70">
      <formula1>OR(P70="",AND(LEN(P70)=5,MID(P70,3,1)=":",ISNUMBER(VALUE(LEFT(P70,2))),ISNUMBER(VALUE(RIGHT(P70,2))),VALUE(LEFT(P70,2))&lt;=23,VALUE(RIGHT(P70,2))&lt;=59))</formula1>
    </dataValidation>
    <dataValidation type="custom" showErrorMessage="1" errorStyle="stop" errorTitle="Invalid Time" error="Enter time as HH:MM (e.g. 09:30) or leave blank" sqref="P71">
      <formula1>OR(P71="",AND(LEN(P71)=5,MID(P71,3,1)=":",ISNUMBER(VALUE(LEFT(P71,2))),ISNUMBER(VALUE(RIGHT(P71,2))),VALUE(LEFT(P71,2))&lt;=23,VALUE(RIGHT(P71,2))&lt;=59))</formula1>
    </dataValidation>
    <dataValidation type="custom" showErrorMessage="1" errorStyle="stop" errorTitle="Invalid Time" error="Enter time as HH:MM (e.g. 09:30) or leave blank" sqref="P72">
      <formula1>OR(P72="",AND(LEN(P72)=5,MID(P72,3,1)=":",ISNUMBER(VALUE(LEFT(P72,2))),ISNUMBER(VALUE(RIGHT(P72,2))),VALUE(LEFT(P72,2))&lt;=23,VALUE(RIGHT(P72,2))&lt;=59))</formula1>
    </dataValidation>
    <dataValidation type="custom" showErrorMessage="1" errorStyle="stop" errorTitle="Invalid Time" error="Enter time as HH:MM (e.g. 09:30) or leave blank" sqref="P73">
      <formula1>OR(P73="",AND(LEN(P73)=5,MID(P73,3,1)=":",ISNUMBER(VALUE(LEFT(P73,2))),ISNUMBER(VALUE(RIGHT(P73,2))),VALUE(LEFT(P73,2))&lt;=23,VALUE(RIGHT(P73,2))&lt;=59))</formula1>
    </dataValidation>
    <dataValidation type="custom" showErrorMessage="1" errorStyle="stop" errorTitle="Invalid Time" error="Enter time as HH:MM (e.g. 09:30) or leave blank" sqref="P74">
      <formula1>OR(P74="",AND(LEN(P74)=5,MID(P74,3,1)=":",ISNUMBER(VALUE(LEFT(P74,2))),ISNUMBER(VALUE(RIGHT(P74,2))),VALUE(LEFT(P74,2))&lt;=23,VALUE(RIGHT(P74,2))&lt;=59))</formula1>
    </dataValidation>
    <dataValidation type="custom" showErrorMessage="1" errorStyle="stop" errorTitle="Invalid Time" error="Enter time as HH:MM (e.g. 09:30) or leave blank" sqref="P75">
      <formula1>OR(P75="",AND(LEN(P75)=5,MID(P75,3,1)=":",ISNUMBER(VALUE(LEFT(P75,2))),ISNUMBER(VALUE(RIGHT(P75,2))),VALUE(LEFT(P75,2))&lt;=23,VALUE(RIGHT(P75,2))&lt;=59))</formula1>
    </dataValidation>
    <dataValidation type="custom" showErrorMessage="1" errorStyle="stop" errorTitle="Invalid Time" error="Enter time as HH:MM (e.g. 09:30) or leave blank" sqref="P76">
      <formula1>OR(P76="",AND(LEN(P76)=5,MID(P76,3,1)=":",ISNUMBER(VALUE(LEFT(P76,2))),ISNUMBER(VALUE(RIGHT(P76,2))),VALUE(LEFT(P76,2))&lt;=23,VALUE(RIGHT(P76,2))&lt;=59))</formula1>
    </dataValidation>
    <dataValidation type="custom" showErrorMessage="1" errorStyle="stop" errorTitle="Invalid Time" error="Enter time as HH:MM (e.g. 09:30) or leave blank" sqref="P77">
      <formula1>OR(P77="",AND(LEN(P77)=5,MID(P77,3,1)=":",ISNUMBER(VALUE(LEFT(P77,2))),ISNUMBER(VALUE(RIGHT(P77,2))),VALUE(LEFT(P77,2))&lt;=23,VALUE(RIGHT(P77,2))&lt;=59))</formula1>
    </dataValidation>
    <dataValidation type="custom" showErrorMessage="1" errorStyle="stop" errorTitle="Invalid Time" error="Enter time as HH:MM (e.g. 09:30) or leave blank" sqref="P78">
      <formula1>OR(P78="",AND(LEN(P78)=5,MID(P78,3,1)=":",ISNUMBER(VALUE(LEFT(P78,2))),ISNUMBER(VALUE(RIGHT(P78,2))),VALUE(LEFT(P78,2))&lt;=23,VALUE(RIGHT(P78,2))&lt;=59))</formula1>
    </dataValidation>
    <dataValidation type="custom" showErrorMessage="1" errorStyle="stop" errorTitle="Invalid Time" error="Enter time as HH:MM (e.g. 09:30) or leave blank" sqref="P79">
      <formula1>OR(P79="",AND(LEN(P79)=5,MID(P79,3,1)=":",ISNUMBER(VALUE(LEFT(P79,2))),ISNUMBER(VALUE(RIGHT(P79,2))),VALUE(LEFT(P79,2))&lt;=23,VALUE(RIGHT(P79,2))&lt;=59))</formula1>
    </dataValidation>
    <dataValidation type="custom" showErrorMessage="1" errorStyle="stop" errorTitle="Invalid Time" error="Enter time as HH:MM (e.g. 09:30) or leave blank" sqref="P8">
      <formula1>OR(P8="",AND(LEN(P8)=5,MID(P8,3,1)=":",ISNUMBER(VALUE(LEFT(P8,2))),ISNUMBER(VALUE(RIGHT(P8,2))),VALUE(LEFT(P8,2))&lt;=23,VALUE(RIGHT(P8,2))&lt;=59))</formula1>
    </dataValidation>
    <dataValidation type="custom" showErrorMessage="1" errorStyle="stop" errorTitle="Invalid Time" error="Enter time as HH:MM (e.g. 09:30) or leave blank" sqref="P80">
      <formula1>OR(P80="",AND(LEN(P80)=5,MID(P80,3,1)=":",ISNUMBER(VALUE(LEFT(P80,2))),ISNUMBER(VALUE(RIGHT(P80,2))),VALUE(LEFT(P80,2))&lt;=23,VALUE(RIGHT(P80,2))&lt;=59))</formula1>
    </dataValidation>
    <dataValidation type="custom" showErrorMessage="1" errorStyle="stop" errorTitle="Invalid Time" error="Enter time as HH:MM (e.g. 09:30) or leave blank" sqref="P81">
      <formula1>OR(P81="",AND(LEN(P81)=5,MID(P81,3,1)=":",ISNUMBER(VALUE(LEFT(P81,2))),ISNUMBER(VALUE(RIGHT(P81,2))),VALUE(LEFT(P81,2))&lt;=23,VALUE(RIGHT(P81,2))&lt;=59))</formula1>
    </dataValidation>
    <dataValidation type="custom" showErrorMessage="1" errorStyle="stop" errorTitle="Invalid Time" error="Enter time as HH:MM (e.g. 09:30) or leave blank" sqref="P82">
      <formula1>OR(P82="",AND(LEN(P82)=5,MID(P82,3,1)=":",ISNUMBER(VALUE(LEFT(P82,2))),ISNUMBER(VALUE(RIGHT(P82,2))),VALUE(LEFT(P82,2))&lt;=23,VALUE(RIGHT(P82,2))&lt;=59))</formula1>
    </dataValidation>
    <dataValidation type="custom" showErrorMessage="1" errorStyle="stop" errorTitle="Invalid Time" error="Enter time as HH:MM (e.g. 09:30) or leave blank" sqref="P83">
      <formula1>OR(P83="",AND(LEN(P83)=5,MID(P83,3,1)=":",ISNUMBER(VALUE(LEFT(P83,2))),ISNUMBER(VALUE(RIGHT(P83,2))),VALUE(LEFT(P83,2))&lt;=23,VALUE(RIGHT(P83,2))&lt;=59))</formula1>
    </dataValidation>
    <dataValidation type="custom" showErrorMessage="1" errorStyle="stop" errorTitle="Invalid Time" error="Enter time as HH:MM (e.g. 09:30) or leave blank" sqref="P84">
      <formula1>OR(P84="",AND(LEN(P84)=5,MID(P84,3,1)=":",ISNUMBER(VALUE(LEFT(P84,2))),ISNUMBER(VALUE(RIGHT(P84,2))),VALUE(LEFT(P84,2))&lt;=23,VALUE(RIGHT(P84,2))&lt;=59))</formula1>
    </dataValidation>
    <dataValidation type="custom" showErrorMessage="1" errorStyle="stop" errorTitle="Invalid Time" error="Enter time as HH:MM (e.g. 09:30) or leave blank" sqref="P85">
      <formula1>OR(P85="",AND(LEN(P85)=5,MID(P85,3,1)=":",ISNUMBER(VALUE(LEFT(P85,2))),ISNUMBER(VALUE(RIGHT(P85,2))),VALUE(LEFT(P85,2))&lt;=23,VALUE(RIGHT(P85,2))&lt;=59))</formula1>
    </dataValidation>
    <dataValidation type="custom" showErrorMessage="1" errorStyle="stop" errorTitle="Invalid Time" error="Enter time as HH:MM (e.g. 09:30) or leave blank" sqref="P86">
      <formula1>OR(P86="",AND(LEN(P86)=5,MID(P86,3,1)=":",ISNUMBER(VALUE(LEFT(P86,2))),ISNUMBER(VALUE(RIGHT(P86,2))),VALUE(LEFT(P86,2))&lt;=23,VALUE(RIGHT(P86,2))&lt;=59))</formula1>
    </dataValidation>
    <dataValidation type="custom" showErrorMessage="1" errorStyle="stop" errorTitle="Invalid Time" error="Enter time as HH:MM (e.g. 09:30) or leave blank" sqref="P87">
      <formula1>OR(P87="",AND(LEN(P87)=5,MID(P87,3,1)=":",ISNUMBER(VALUE(LEFT(P87,2))),ISNUMBER(VALUE(RIGHT(P87,2))),VALUE(LEFT(P87,2))&lt;=23,VALUE(RIGHT(P87,2))&lt;=59))</formula1>
    </dataValidation>
    <dataValidation type="custom" showErrorMessage="1" errorStyle="stop" errorTitle="Invalid Time" error="Enter time as HH:MM (e.g. 09:30) or leave blank" sqref="P88">
      <formula1>OR(P88="",AND(LEN(P88)=5,MID(P88,3,1)=":",ISNUMBER(VALUE(LEFT(P88,2))),ISNUMBER(VALUE(RIGHT(P88,2))),VALUE(LEFT(P88,2))&lt;=23,VALUE(RIGHT(P88,2))&lt;=59))</formula1>
    </dataValidation>
    <dataValidation type="custom" showErrorMessage="1" errorStyle="stop" errorTitle="Invalid Time" error="Enter time as HH:MM (e.g. 09:30) or leave blank" sqref="P89">
      <formula1>OR(P89="",AND(LEN(P89)=5,MID(P89,3,1)=":",ISNUMBER(VALUE(LEFT(P89,2))),ISNUMBER(VALUE(RIGHT(P89,2))),VALUE(LEFT(P89,2))&lt;=23,VALUE(RIGHT(P89,2))&lt;=59))</formula1>
    </dataValidation>
    <dataValidation type="custom" showErrorMessage="1" errorStyle="stop" errorTitle="Invalid Time" error="Enter time as HH:MM (e.g. 09:30) or leave blank" sqref="P9">
      <formula1>OR(P9="",AND(LEN(P9)=5,MID(P9,3,1)=":",ISNUMBER(VALUE(LEFT(P9,2))),ISNUMBER(VALUE(RIGHT(P9,2))),VALUE(LEFT(P9,2))&lt;=23,VALUE(RIGHT(P9,2))&lt;=59))</formula1>
    </dataValidation>
    <dataValidation type="custom" showErrorMessage="1" errorStyle="stop" errorTitle="Invalid Time" error="Enter time as HH:MM (e.g. 09:30) or leave blank" sqref="P90">
      <formula1>OR(P90="",AND(LEN(P90)=5,MID(P90,3,1)=":",ISNUMBER(VALUE(LEFT(P90,2))),ISNUMBER(VALUE(RIGHT(P90,2))),VALUE(LEFT(P90,2))&lt;=23,VALUE(RIGHT(P90,2))&lt;=59))</formula1>
    </dataValidation>
    <dataValidation type="custom" showErrorMessage="1" errorStyle="stop" errorTitle="Invalid Time" error="Enter time as HH:MM (e.g. 09:30) or leave blank" sqref="P91">
      <formula1>OR(P91="",AND(LEN(P91)=5,MID(P91,3,1)=":",ISNUMBER(VALUE(LEFT(P91,2))),ISNUMBER(VALUE(RIGHT(P91,2))),VALUE(LEFT(P91,2))&lt;=23,VALUE(RIGHT(P91,2))&lt;=59))</formula1>
    </dataValidation>
    <dataValidation type="custom" showErrorMessage="1" errorStyle="stop" errorTitle="Invalid Time" error="Enter time as HH:MM (e.g. 09:30) or leave blank" sqref="P92">
      <formula1>OR(P92="",AND(LEN(P92)=5,MID(P92,3,1)=":",ISNUMBER(VALUE(LEFT(P92,2))),ISNUMBER(VALUE(RIGHT(P92,2))),VALUE(LEFT(P92,2))&lt;=23,VALUE(RIGHT(P92,2))&lt;=59))</formula1>
    </dataValidation>
    <dataValidation type="custom" showErrorMessage="1" errorStyle="stop" errorTitle="Invalid Time" error="Enter time as HH:MM (e.g. 09:30) or leave blank" sqref="P93">
      <formula1>OR(P93="",AND(LEN(P93)=5,MID(P93,3,1)=":",ISNUMBER(VALUE(LEFT(P93,2))),ISNUMBER(VALUE(RIGHT(P93,2))),VALUE(LEFT(P93,2))&lt;=23,VALUE(RIGHT(P93,2))&lt;=59))</formula1>
    </dataValidation>
    <dataValidation type="custom" showErrorMessage="1" errorStyle="stop" errorTitle="Invalid Time" error="Enter time as HH:MM (e.g. 09:30) or leave blank" sqref="P94">
      <formula1>OR(P94="",AND(LEN(P94)=5,MID(P94,3,1)=":",ISNUMBER(VALUE(LEFT(P94,2))),ISNUMBER(VALUE(RIGHT(P94,2))),VALUE(LEFT(P94,2))&lt;=23,VALUE(RIGHT(P94,2))&lt;=59))</formula1>
    </dataValidation>
    <dataValidation type="custom" showErrorMessage="1" errorStyle="stop" errorTitle="Invalid Time" error="Enter time as HH:MM (e.g. 09:30) or leave blank" sqref="P95">
      <formula1>OR(P95="",AND(LEN(P95)=5,MID(P95,3,1)=":",ISNUMBER(VALUE(LEFT(P95,2))),ISNUMBER(VALUE(RIGHT(P95,2))),VALUE(LEFT(P95,2))&lt;=23,VALUE(RIGHT(P95,2))&lt;=59))</formula1>
    </dataValidation>
    <dataValidation type="custom" showErrorMessage="1" errorStyle="stop" errorTitle="Invalid Time" error="Enter time as HH:MM (e.g. 09:30) or leave blank" sqref="P96">
      <formula1>OR(P96="",AND(LEN(P96)=5,MID(P96,3,1)=":",ISNUMBER(VALUE(LEFT(P96,2))),ISNUMBER(VALUE(RIGHT(P96,2))),VALUE(LEFT(P96,2))&lt;=23,VALUE(RIGHT(P96,2))&lt;=59))</formula1>
    </dataValidation>
    <dataValidation type="custom" showErrorMessage="1" errorStyle="stop" errorTitle="Invalid Time" error="Enter time as HH:MM (e.g. 09:30) or leave blank" sqref="P97">
      <formula1>OR(P97="",AND(LEN(P97)=5,MID(P97,3,1)=":",ISNUMBER(VALUE(LEFT(P97,2))),ISNUMBER(VALUE(RIGHT(P97,2))),VALUE(LEFT(P97,2))&lt;=23,VALUE(RIGHT(P97,2))&lt;=59))</formula1>
    </dataValidation>
    <dataValidation type="custom" showErrorMessage="1" errorStyle="stop" errorTitle="Invalid Time" error="Enter time as HH:MM (e.g. 09:30) or leave blank" sqref="P98">
      <formula1>OR(P98="",AND(LEN(P98)=5,MID(P98,3,1)=":",ISNUMBER(VALUE(LEFT(P98,2))),ISNUMBER(VALUE(RIGHT(P98,2))),VALUE(LEFT(P98,2))&lt;=23,VALUE(RIGHT(P98,2))&lt;=59))</formula1>
    </dataValidation>
    <dataValidation type="custom" showErrorMessage="1" errorStyle="stop" errorTitle="Invalid Time" error="Enter time as HH:MM (e.g. 09:30) or leave blank" sqref="P99">
      <formula1>OR(P99="",AND(LEN(P99)=5,MID(P99,3,1)=":",ISNUMBER(VALUE(LEFT(P99,2))),ISNUMBER(VALUE(RIGHT(P99,2))),VALUE(LEFT(P99,2))&lt;=23,VALUE(RIGHT(P99,2))&lt;=59))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 to use</vt:lpstr>
      <vt:lpstr>CARTON_LOOKUP</vt:lpstr>
      <vt:lpstr>LISTS_LOOKUP</vt:lpstr>
      <vt:lpstr>PO Header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2026-07-01T13:45:41Z</dcterms:created>
  <dcterms:modified xsi:type="dcterms:W3CDTF">2026-07-01T13:45:41Z</dcterms:modified>
</cp:coreProperties>
</file>